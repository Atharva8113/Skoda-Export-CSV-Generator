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olkswagengroup.sharepoint.com/sites/Dispatch/Shared Documents/invoice Detail/Invoice Data/100008462/"/>
    </mc:Choice>
  </mc:AlternateContent>
  <xr:revisionPtr revIDLastSave="1508" documentId="13_ncr:1_{29D0404B-A41E-4092-8611-70DAA154EA3D}" xr6:coauthVersionLast="47" xr6:coauthVersionMax="47" xr10:uidLastSave="{BF6445C3-97CF-4F5C-B808-D08C1075ED41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J19" i="1"/>
  <c r="J20" i="1"/>
  <c r="J21" i="1"/>
  <c r="D19" i="1"/>
  <c r="D20" i="1"/>
  <c r="D2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H48" i="1"/>
  <c r="I48" i="1"/>
  <c r="K48" i="1"/>
  <c r="J52" i="1"/>
  <c r="D2" i="1"/>
  <c r="J2" i="1"/>
  <c r="O35" i="1" l="1"/>
  <c r="L46" i="1"/>
  <c r="M46" i="1" s="1"/>
  <c r="L22" i="1"/>
  <c r="M22" i="1" s="1"/>
  <c r="N22" i="1" s="1"/>
  <c r="L34" i="1"/>
  <c r="M34" i="1" s="1"/>
  <c r="L45" i="1"/>
  <c r="M45" i="1" s="1"/>
  <c r="N45" i="1" s="1"/>
  <c r="L44" i="1"/>
  <c r="M44" i="1" s="1"/>
  <c r="L25" i="1"/>
  <c r="M25" i="1" s="1"/>
  <c r="N25" i="1" s="1"/>
  <c r="L35" i="1"/>
  <c r="M35" i="1" s="1"/>
  <c r="L32" i="1"/>
  <c r="M32" i="1" s="1"/>
  <c r="O26" i="1"/>
  <c r="O43" i="1"/>
  <c r="O36" i="1"/>
  <c r="J48" i="1"/>
  <c r="J129" i="3"/>
  <c r="J130" i="3"/>
  <c r="J1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2" i="3"/>
  <c r="J1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2" i="3"/>
  <c r="H127" i="3"/>
  <c r="G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27" i="3" s="1"/>
  <c r="I131" i="3" s="1"/>
  <c r="H131" i="3" s="1"/>
  <c r="N44" i="1" l="1"/>
  <c r="P44" i="1"/>
  <c r="O31" i="1"/>
  <c r="O28" i="1"/>
  <c r="L31" i="1"/>
  <c r="M31" i="1" s="1"/>
  <c r="O41" i="1"/>
  <c r="L24" i="1"/>
  <c r="M24" i="1" s="1"/>
  <c r="O45" i="1"/>
  <c r="O38" i="1"/>
  <c r="O42" i="1"/>
  <c r="L39" i="1"/>
  <c r="M39" i="1" s="1"/>
  <c r="O30" i="1"/>
  <c r="L23" i="1"/>
  <c r="M23" i="1" s="1"/>
  <c r="O33" i="1"/>
  <c r="L37" i="1"/>
  <c r="M37" i="1" s="1"/>
  <c r="L47" i="1"/>
  <c r="M47" i="1" s="1"/>
  <c r="O40" i="1"/>
  <c r="L38" i="1"/>
  <c r="M38" i="1" s="1"/>
  <c r="L36" i="1"/>
  <c r="M36" i="1" s="1"/>
  <c r="O23" i="1"/>
  <c r="L27" i="1"/>
  <c r="M27" i="1" s="1"/>
  <c r="L26" i="1"/>
  <c r="M26" i="1" s="1"/>
  <c r="L40" i="1"/>
  <c r="M40" i="1" s="1"/>
  <c r="P32" i="1"/>
  <c r="N32" i="1"/>
  <c r="P35" i="1"/>
  <c r="N35" i="1"/>
  <c r="O24" i="1"/>
  <c r="O27" i="1"/>
  <c r="O39" i="1"/>
  <c r="O34" i="1"/>
  <c r="P34" i="1" s="1"/>
  <c r="L28" i="1"/>
  <c r="M28" i="1" s="1"/>
  <c r="L41" i="1"/>
  <c r="M41" i="1" s="1"/>
  <c r="O29" i="1"/>
  <c r="O37" i="1"/>
  <c r="L29" i="1"/>
  <c r="M29" i="1" s="1"/>
  <c r="L30" i="1"/>
  <c r="M30" i="1" s="1"/>
  <c r="N34" i="1"/>
  <c r="O25" i="1"/>
  <c r="P25" i="1" s="1"/>
  <c r="P45" i="1"/>
  <c r="O22" i="1"/>
  <c r="P22" i="1" s="1"/>
  <c r="O44" i="1"/>
  <c r="L42" i="1"/>
  <c r="M42" i="1" s="1"/>
  <c r="O32" i="1"/>
  <c r="O46" i="1"/>
  <c r="P46" i="1" s="1"/>
  <c r="O47" i="1"/>
  <c r="L43" i="1"/>
  <c r="M43" i="1" s="1"/>
  <c r="L33" i="1"/>
  <c r="M33" i="1" s="1"/>
  <c r="N46" i="1"/>
  <c r="O20" i="1"/>
  <c r="O21" i="1"/>
  <c r="L20" i="1"/>
  <c r="M20" i="1" s="1"/>
  <c r="L21" i="1"/>
  <c r="M21" i="1" s="1"/>
  <c r="N21" i="1" s="1"/>
  <c r="L19" i="1"/>
  <c r="M19" i="1" s="1"/>
  <c r="O19" i="1"/>
  <c r="O11" i="1"/>
  <c r="L7" i="1"/>
  <c r="M7" i="1" s="1"/>
  <c r="N7" i="1" s="1"/>
  <c r="L11" i="1"/>
  <c r="M11" i="1" s="1"/>
  <c r="O18" i="1"/>
  <c r="O7" i="1"/>
  <c r="L15" i="1"/>
  <c r="M15" i="1" s="1"/>
  <c r="N15" i="1" s="1"/>
  <c r="O8" i="1"/>
  <c r="O9" i="1"/>
  <c r="L10" i="1"/>
  <c r="M10" i="1" s="1"/>
  <c r="N10" i="1" s="1"/>
  <c r="L4" i="1"/>
  <c r="M4" i="1" s="1"/>
  <c r="N4" i="1" s="1"/>
  <c r="O6" i="1"/>
  <c r="L14" i="1"/>
  <c r="M14" i="1" s="1"/>
  <c r="N14" i="1" s="1"/>
  <c r="L6" i="1"/>
  <c r="M6" i="1" s="1"/>
  <c r="N6" i="1" s="1"/>
  <c r="L8" i="1"/>
  <c r="M8" i="1" s="1"/>
  <c r="L17" i="1"/>
  <c r="M17" i="1" s="1"/>
  <c r="N17" i="1" s="1"/>
  <c r="L5" i="1"/>
  <c r="M5" i="1" s="1"/>
  <c r="L3" i="1"/>
  <c r="M3" i="1" s="1"/>
  <c r="L12" i="1"/>
  <c r="M12" i="1" s="1"/>
  <c r="L18" i="1"/>
  <c r="M18" i="1" s="1"/>
  <c r="N18" i="1" s="1"/>
  <c r="L13" i="1"/>
  <c r="M13" i="1" s="1"/>
  <c r="N13" i="1" s="1"/>
  <c r="O3" i="1"/>
  <c r="O12" i="1"/>
  <c r="O10" i="1"/>
  <c r="O15" i="1"/>
  <c r="O4" i="1"/>
  <c r="O14" i="1"/>
  <c r="O13" i="1"/>
  <c r="L16" i="1"/>
  <c r="M16" i="1" s="1"/>
  <c r="N16" i="1" s="1"/>
  <c r="O16" i="1"/>
  <c r="L9" i="1"/>
  <c r="M9" i="1" s="1"/>
  <c r="N9" i="1" s="1"/>
  <c r="O5" i="1"/>
  <c r="O17" i="1"/>
  <c r="L2" i="1"/>
  <c r="M2" i="1" s="1"/>
  <c r="J53" i="1"/>
  <c r="J55" i="1" s="1"/>
  <c r="O2" i="1"/>
  <c r="N29" i="1" l="1"/>
  <c r="P29" i="1"/>
  <c r="N23" i="1"/>
  <c r="P23" i="1"/>
  <c r="P26" i="1"/>
  <c r="N26" i="1"/>
  <c r="N28" i="1"/>
  <c r="P28" i="1"/>
  <c r="N39" i="1"/>
  <c r="P39" i="1"/>
  <c r="P42" i="1"/>
  <c r="N42" i="1"/>
  <c r="N38" i="1"/>
  <c r="P38" i="1"/>
  <c r="P43" i="1"/>
  <c r="N43" i="1"/>
  <c r="N27" i="1"/>
  <c r="P27" i="1"/>
  <c r="P31" i="1"/>
  <c r="N31" i="1"/>
  <c r="N36" i="1"/>
  <c r="P36" i="1"/>
  <c r="P47" i="1"/>
  <c r="N47" i="1"/>
  <c r="P40" i="1"/>
  <c r="N40" i="1"/>
  <c r="N41" i="1"/>
  <c r="P41" i="1"/>
  <c r="N24" i="1"/>
  <c r="P24" i="1"/>
  <c r="N33" i="1"/>
  <c r="P33" i="1"/>
  <c r="N30" i="1"/>
  <c r="P30" i="1"/>
  <c r="N37" i="1"/>
  <c r="P37" i="1"/>
  <c r="P21" i="1"/>
  <c r="P20" i="1"/>
  <c r="N20" i="1"/>
  <c r="N19" i="1"/>
  <c r="P19" i="1"/>
  <c r="P11" i="1"/>
  <c r="P7" i="1"/>
  <c r="N11" i="1"/>
  <c r="P10" i="1"/>
  <c r="P18" i="1"/>
  <c r="P6" i="1"/>
  <c r="P16" i="1"/>
  <c r="P14" i="1"/>
  <c r="P4" i="1"/>
  <c r="P13" i="1"/>
  <c r="P15" i="1"/>
  <c r="N5" i="1"/>
  <c r="P5" i="1"/>
  <c r="P8" i="1"/>
  <c r="N8" i="1"/>
  <c r="N3" i="1"/>
  <c r="P3" i="1"/>
  <c r="P12" i="1"/>
  <c r="N12" i="1"/>
  <c r="P17" i="1"/>
  <c r="P9" i="1"/>
  <c r="M48" i="1"/>
  <c r="O48" i="1"/>
  <c r="L48" i="1"/>
  <c r="N2" i="1"/>
  <c r="P2" i="1"/>
  <c r="P48" i="1" l="1"/>
  <c r="N48" i="1"/>
</calcChain>
</file>

<file path=xl/sharedStrings.xml><?xml version="1.0" encoding="utf-8"?>
<sst xmlns="http://schemas.openxmlformats.org/spreadsheetml/2006/main" count="568" uniqueCount="327">
  <si>
    <t>Product Name</t>
  </si>
  <si>
    <t>Product Description</t>
  </si>
  <si>
    <t>HSN code</t>
  </si>
  <si>
    <t>COO</t>
  </si>
  <si>
    <t>Quantity</t>
  </si>
  <si>
    <t>Unit price</t>
  </si>
  <si>
    <t xml:space="preserve">Total Value </t>
  </si>
  <si>
    <t>Weight</t>
  </si>
  <si>
    <t>Packing and Logistics</t>
  </si>
  <si>
    <t>Inland Transport &amp; Other Handling costs</t>
  </si>
  <si>
    <t>Ocean Freight</t>
  </si>
  <si>
    <t>Sr. No.</t>
  </si>
  <si>
    <t>DBK</t>
  </si>
  <si>
    <t>Inv No</t>
  </si>
  <si>
    <t>BOE No</t>
  </si>
  <si>
    <t>Date</t>
  </si>
  <si>
    <t>2QD412359</t>
  </si>
  <si>
    <t>6V0035411A</t>
  </si>
  <si>
    <t>LOUDSPEAKER (MY)</t>
  </si>
  <si>
    <t>2024/3800000046</t>
  </si>
  <si>
    <t>CAP,SUSPENSION STR (CN)</t>
  </si>
  <si>
    <t>56G919279</t>
  </si>
  <si>
    <t>LOUDSPEAKER,PARK D (CN)</t>
  </si>
  <si>
    <t>00000058, 00000059</t>
  </si>
  <si>
    <t>6R0012255</t>
  </si>
  <si>
    <t>SCREWDRIVER (CN)</t>
  </si>
  <si>
    <t>6JM867914  5AP</t>
  </si>
  <si>
    <t xml:space="preserve">WELT </t>
  </si>
  <si>
    <t>6JN857053  4PK</t>
  </si>
  <si>
    <t>INSTRUMENT CLUSTERTRIM PANEL</t>
  </si>
  <si>
    <t>6JN857053A WZK</t>
  </si>
  <si>
    <t>6JN858417A 8I5</t>
  </si>
  <si>
    <t xml:space="preserve">TRIM </t>
  </si>
  <si>
    <t>6JN858418N 8I5</t>
  </si>
  <si>
    <t>6JN858418P 9Q3</t>
  </si>
  <si>
    <t>6JN863045  4PK</t>
  </si>
  <si>
    <t xml:space="preserve">LINING </t>
  </si>
  <si>
    <t>6JN863046  4PK</t>
  </si>
  <si>
    <t>6JN971120BA</t>
  </si>
  <si>
    <t>HARNESS,DOOR CABLING</t>
  </si>
  <si>
    <t>6JN971121BA</t>
  </si>
  <si>
    <t>6JP971147A</t>
  </si>
  <si>
    <t xml:space="preserve">HARNESS,TRUNK LID </t>
  </si>
  <si>
    <t>6JP971147B</t>
  </si>
  <si>
    <t>6JP971161E</t>
  </si>
  <si>
    <t>6JP971162E</t>
  </si>
  <si>
    <t>6JR959565  WHS</t>
  </si>
  <si>
    <t>EXTERIOR MIRROR SWITCH</t>
  </si>
  <si>
    <t>6RF412319</t>
  </si>
  <si>
    <t>COLLECTING TRAY</t>
  </si>
  <si>
    <t>04C129601S</t>
  </si>
  <si>
    <t>AIR FILTER/MUFFLERUNIT</t>
  </si>
  <si>
    <t>04E906262CR</t>
  </si>
  <si>
    <t xml:space="preserve">LAMBDA PROBE </t>
  </si>
  <si>
    <t>05E906262A</t>
  </si>
  <si>
    <t>1K0010833P</t>
  </si>
  <si>
    <t xml:space="preserve">TIRE PRESSURE MONITORING SYSTEM </t>
  </si>
  <si>
    <t>2G1815159</t>
  </si>
  <si>
    <t>COVER</t>
  </si>
  <si>
    <t>2G1863949A</t>
  </si>
  <si>
    <t>DAMPING</t>
  </si>
  <si>
    <t>2Q0886249D</t>
  </si>
  <si>
    <t>SECURING PART</t>
  </si>
  <si>
    <t>2Q0906507D</t>
  </si>
  <si>
    <t>HOLDER,ELECTR.CONTR.UNIT</t>
  </si>
  <si>
    <t>5GG886373</t>
  </si>
  <si>
    <t>MOUNTING GROMMET</t>
  </si>
  <si>
    <t>5J5951206C</t>
  </si>
  <si>
    <t xml:space="preserve">HORN WITH BRACKET </t>
  </si>
  <si>
    <t>5JN857562  RM5</t>
  </si>
  <si>
    <t xml:space="preserve">MOUNTING,INNER </t>
  </si>
  <si>
    <t>5QP011031</t>
  </si>
  <si>
    <t xml:space="preserve">JACK </t>
  </si>
  <si>
    <t>5QP012115</t>
  </si>
  <si>
    <t>TOOL KIT HOLDER</t>
  </si>
  <si>
    <t>5QP121049C</t>
  </si>
  <si>
    <t xml:space="preserve">COOLANT HOSE </t>
  </si>
  <si>
    <t>5QP129618</t>
  </si>
  <si>
    <t>INTAKE MANIFOLD</t>
  </si>
  <si>
    <t>5QP199117A</t>
  </si>
  <si>
    <t>BRACKET</t>
  </si>
  <si>
    <t>5QP199315</t>
  </si>
  <si>
    <t xml:space="preserve">SUBFRAME </t>
  </si>
  <si>
    <t>5QP199517A</t>
  </si>
  <si>
    <t>SUPPORT</t>
  </si>
  <si>
    <t>5QP199518A</t>
  </si>
  <si>
    <t>5QP201655</t>
  </si>
  <si>
    <t>STRAP</t>
  </si>
  <si>
    <t>5QP201801A</t>
  </si>
  <si>
    <t xml:space="preserve">ACTIVATED CARBON CANISTER </t>
  </si>
  <si>
    <t>5QP253249</t>
  </si>
  <si>
    <t>5QP407151A</t>
  </si>
  <si>
    <t xml:space="preserve">TRACK CONTROL ARM </t>
  </si>
  <si>
    <t>5QP407152A</t>
  </si>
  <si>
    <t>5QP411303C</t>
  </si>
  <si>
    <t xml:space="preserve">STABILIZER BAR </t>
  </si>
  <si>
    <t>5QP413031E</t>
  </si>
  <si>
    <t>SHOCK ABSORBER STRUT</t>
  </si>
  <si>
    <t>5QP501545</t>
  </si>
  <si>
    <t>MOUNTING BRACKET</t>
  </si>
  <si>
    <t>5QP501546</t>
  </si>
  <si>
    <t>5QP609617A</t>
  </si>
  <si>
    <t xml:space="preserve">BRAKE DRUM </t>
  </si>
  <si>
    <t>5QP711951</t>
  </si>
  <si>
    <t xml:space="preserve">GUIDE TUBE </t>
  </si>
  <si>
    <t>5QP711952</t>
  </si>
  <si>
    <t>5QP825208</t>
  </si>
  <si>
    <t>CD-ENHANCING UNDERBODY PANEL</t>
  </si>
  <si>
    <t>5QP886193</t>
  </si>
  <si>
    <t>CLAMP</t>
  </si>
  <si>
    <t>5QP951206</t>
  </si>
  <si>
    <t>5QP953507C ASS</t>
  </si>
  <si>
    <t xml:space="preserve">CONTROL MODULE </t>
  </si>
  <si>
    <t>5QP971349G</t>
  </si>
  <si>
    <t>HARNESS,ALTERNATOR</t>
  </si>
  <si>
    <t>5QQ959801C</t>
  </si>
  <si>
    <t xml:space="preserve">MOTOR,WINDOW LIFT </t>
  </si>
  <si>
    <t>6JM035503A</t>
  </si>
  <si>
    <t>ANTENNA</t>
  </si>
  <si>
    <t>6JM121284C</t>
  </si>
  <si>
    <t>AIR DEFLECTOR</t>
  </si>
  <si>
    <t>6JM419091A VKH</t>
  </si>
  <si>
    <t xml:space="preserve">STEERING WHEEL </t>
  </si>
  <si>
    <t>6JM711301C WZK</t>
  </si>
  <si>
    <t>HAND BRAKE LEVER</t>
  </si>
  <si>
    <t>6JM807183</t>
  </si>
  <si>
    <t>GUIDE PROFILE</t>
  </si>
  <si>
    <t>6JM807184</t>
  </si>
  <si>
    <t>6JM807393</t>
  </si>
  <si>
    <t>6JM807394</t>
  </si>
  <si>
    <t>6JM809702</t>
  </si>
  <si>
    <t xml:space="preserve">INSERT </t>
  </si>
  <si>
    <t>6JM810971</t>
  </si>
  <si>
    <t>WHEEL HOUSING LINER,REAR</t>
  </si>
  <si>
    <t>6JM810972</t>
  </si>
  <si>
    <t>6JM821017D FOD</t>
  </si>
  <si>
    <t xml:space="preserve">FENDER </t>
  </si>
  <si>
    <t>6JM821018D FOD</t>
  </si>
  <si>
    <t>6JM827550A</t>
  </si>
  <si>
    <t xml:space="preserve">GAS SPRING </t>
  </si>
  <si>
    <t>6JM827646  9B9</t>
  </si>
  <si>
    <t>6JM837470</t>
  </si>
  <si>
    <t>6JM837475  2MG</t>
  </si>
  <si>
    <t xml:space="preserve">WIN. WEATHERSTRIP </t>
  </si>
  <si>
    <t>6JM837476  2MG</t>
  </si>
  <si>
    <t>6JM837901  9B9</t>
  </si>
  <si>
    <t>6JM837902  9B9</t>
  </si>
  <si>
    <t>6JM837902A 041</t>
  </si>
  <si>
    <t>6JM837973  4PK</t>
  </si>
  <si>
    <t>COVER,INNER</t>
  </si>
  <si>
    <t>6JM837974  4PK</t>
  </si>
  <si>
    <t>6JM839476A 2MG</t>
  </si>
  <si>
    <t>6JM839699  9B9</t>
  </si>
  <si>
    <t>DOOR JOINT SEAL</t>
  </si>
  <si>
    <t>6JM839902A 041</t>
  </si>
  <si>
    <t>6JM839915</t>
  </si>
  <si>
    <t>6JM839916</t>
  </si>
  <si>
    <t>6JM853378  9B9</t>
  </si>
  <si>
    <t>TRIM,PILLAR C</t>
  </si>
  <si>
    <t>6JM853855A 9B9</t>
  </si>
  <si>
    <t>OUTER SILL COVER</t>
  </si>
  <si>
    <t>6JM853856A 9B9</t>
  </si>
  <si>
    <t>6JM854939A 9B9</t>
  </si>
  <si>
    <t xml:space="preserve">COVER,DOOR </t>
  </si>
  <si>
    <t>6JM857289  WE6</t>
  </si>
  <si>
    <t xml:space="preserve">MOUNTING </t>
  </si>
  <si>
    <t>6JM857503  4PK</t>
  </si>
  <si>
    <t>6JM857504  4PK</t>
  </si>
  <si>
    <t>6JM857509</t>
  </si>
  <si>
    <t>6JM858169  4PK</t>
  </si>
  <si>
    <t xml:space="preserve">TRIM MAT </t>
  </si>
  <si>
    <t>6JM858169A 4PK</t>
  </si>
  <si>
    <t>6JM863051</t>
  </si>
  <si>
    <t>6JM863301  4PK</t>
  </si>
  <si>
    <t>6JM863323A WE6</t>
  </si>
  <si>
    <t xml:space="preserve">EXTENSION,CENTERCONSOLE </t>
  </si>
  <si>
    <t>6JM863459A 4PK</t>
  </si>
  <si>
    <t>COVER,LOCK CARRIER</t>
  </si>
  <si>
    <t>6JM863483  4PK</t>
  </si>
  <si>
    <t xml:space="preserve">TRIM PANEL,PILLAR A,LWR </t>
  </si>
  <si>
    <t>6JM863484  4PK</t>
  </si>
  <si>
    <t>6JM863680A ZTY</t>
  </si>
  <si>
    <t>6JM863680B ZPA</t>
  </si>
  <si>
    <t>6JM864220A</t>
  </si>
  <si>
    <t xml:space="preserve">GEAR SHIFT DAMPER </t>
  </si>
  <si>
    <t>6JM864273</t>
  </si>
  <si>
    <t xml:space="preserve">SUPPORT BASE, LOWER </t>
  </si>
  <si>
    <t>6JM867171  4PK</t>
  </si>
  <si>
    <t>HANDLE RECESS,UPPER PART</t>
  </si>
  <si>
    <t>6JM867233C RM5</t>
  </si>
  <si>
    <t xml:space="preserve">TRIM PANEL,PILLAR A </t>
  </si>
  <si>
    <t>6JM867234C RM5</t>
  </si>
  <si>
    <t>6JM867244A RM5</t>
  </si>
  <si>
    <t xml:space="preserve">TRIM PANEL,PILLAR B </t>
  </si>
  <si>
    <t>6JM867287A RM5</t>
  </si>
  <si>
    <t xml:space="preserve">TRIM PANEL,PILLAR C </t>
  </si>
  <si>
    <t>6JM867428B 4PK</t>
  </si>
  <si>
    <t>LUGGAGE COMP. SIDETRIM</t>
  </si>
  <si>
    <t>2QD820803C</t>
  </si>
  <si>
    <t xml:space="preserve">AIR CONDITIONING COMPRESSOR </t>
  </si>
  <si>
    <t>6C0412311</t>
  </si>
  <si>
    <t xml:space="preserve">SPACER </t>
  </si>
  <si>
    <t>6JM907451B</t>
  </si>
  <si>
    <t xml:space="preserve">SUNLOAD SENSOR </t>
  </si>
  <si>
    <t>6JM919064</t>
  </si>
  <si>
    <t>EL.CONTROL UNIT</t>
  </si>
  <si>
    <t>LOUDSPEAKER</t>
  </si>
  <si>
    <t>N  91279301</t>
  </si>
  <si>
    <t xml:space="preserve">HEXALOBULAR SOCKETSCREW WITH FLANGE </t>
  </si>
  <si>
    <t>09G301472S</t>
  </si>
  <si>
    <t>BREATHER PIPE</t>
  </si>
  <si>
    <t>2Q0611701A</t>
  </si>
  <si>
    <t>BRAKE HOSE,FR</t>
  </si>
  <si>
    <t>2Q0611775</t>
  </si>
  <si>
    <t xml:space="preserve">BRAKE HOSE </t>
  </si>
  <si>
    <t>2QB407623</t>
  </si>
  <si>
    <t xml:space="preserve">DEFLECTOR RING </t>
  </si>
  <si>
    <t>04E010012S</t>
  </si>
  <si>
    <t>STICKER, FUEL</t>
  </si>
  <si>
    <t>6JM803612A</t>
  </si>
  <si>
    <t xml:space="preserve">TOWING EYE </t>
  </si>
  <si>
    <t>6JM867255  4PK</t>
  </si>
  <si>
    <t>SWITCH TRIM</t>
  </si>
  <si>
    <t>6JN867255  4PK</t>
  </si>
  <si>
    <t>6JN867256  4PK</t>
  </si>
  <si>
    <t>6JM867256  4PK</t>
  </si>
  <si>
    <t>IN</t>
  </si>
  <si>
    <t>CN</t>
  </si>
  <si>
    <t>BR</t>
  </si>
  <si>
    <t>MY</t>
  </si>
  <si>
    <t>KR</t>
  </si>
  <si>
    <t>6JM907390</t>
  </si>
  <si>
    <t>6JN819655</t>
  </si>
  <si>
    <t>A</t>
  </si>
  <si>
    <t>B</t>
  </si>
  <si>
    <t>C</t>
  </si>
  <si>
    <t>D</t>
  </si>
  <si>
    <t>E</t>
  </si>
  <si>
    <t>F</t>
  </si>
  <si>
    <t>ProductName</t>
  </si>
  <si>
    <t>Sr.No.</t>
  </si>
  <si>
    <t>ProductDescription</t>
  </si>
  <si>
    <t>HSNcode</t>
  </si>
  <si>
    <t>Unitprice</t>
  </si>
  <si>
    <t>TotalValue</t>
  </si>
  <si>
    <t>OtherchargesPropbasis</t>
  </si>
  <si>
    <t>RevisedValue</t>
  </si>
  <si>
    <t>RevisedUnitPrice</t>
  </si>
  <si>
    <t>WeightPropbasisInsurance</t>
  </si>
  <si>
    <t>RevisedFOBValue</t>
  </si>
  <si>
    <t>Parts &amp; Components of Passenger Car - Part no.</t>
  </si>
  <si>
    <t>Total (Sum of total value)</t>
  </si>
  <si>
    <t>Total (B+C+D)</t>
  </si>
  <si>
    <t>Total CFR value (A+B+C+D)</t>
  </si>
  <si>
    <t>Freight costs</t>
  </si>
  <si>
    <t>SIDE PANEL</t>
  </si>
  <si>
    <t>5JL809605</t>
  </si>
  <si>
    <t>SEATS</t>
  </si>
  <si>
    <t>5JL809377</t>
  </si>
  <si>
    <t>SILL</t>
  </si>
  <si>
    <t>5JN863951</t>
  </si>
  <si>
    <t>ENGINE MOUNT</t>
  </si>
  <si>
    <t>5JL881005B</t>
  </si>
  <si>
    <t>5QP805115</t>
  </si>
  <si>
    <t>WHEEL HOUSING,FR</t>
  </si>
  <si>
    <t>5QP803205A</t>
  </si>
  <si>
    <t>FLOOR ASSEMBLY,FR</t>
  </si>
  <si>
    <t>5QP803206A</t>
  </si>
  <si>
    <t>6JM839015A</t>
  </si>
  <si>
    <t>DOOR LOCK</t>
  </si>
  <si>
    <t>6JN837015A</t>
  </si>
  <si>
    <t>6JN837016A</t>
  </si>
  <si>
    <t>5QP801252A</t>
  </si>
  <si>
    <t>SILL, INNER</t>
  </si>
  <si>
    <t>5JL802124</t>
  </si>
  <si>
    <t>A-PILLAR,LOWER INN</t>
  </si>
  <si>
    <t>5JL809065</t>
  </si>
  <si>
    <t>REINFORCEMENT</t>
  </si>
  <si>
    <t>5JL809378</t>
  </si>
  <si>
    <t>5JL809621</t>
  </si>
  <si>
    <t>HINGE REINF.</t>
  </si>
  <si>
    <t>5JL809622</t>
  </si>
  <si>
    <t>5JL810421</t>
  </si>
  <si>
    <t>SIDE PANEL,INNER,</t>
  </si>
  <si>
    <t>5JL810422</t>
  </si>
  <si>
    <t>5JL813501B</t>
  </si>
  <si>
    <t>REAR PANEL</t>
  </si>
  <si>
    <t>5JL817111A</t>
  </si>
  <si>
    <t>ROOF</t>
  </si>
  <si>
    <t>5JL821135</t>
  </si>
  <si>
    <t>STRUT</t>
  </si>
  <si>
    <t>5JL821136</t>
  </si>
  <si>
    <t>5JL823105</t>
  </si>
  <si>
    <t>OUTER PANEL,ENGINE</t>
  </si>
  <si>
    <t>5JL823189</t>
  </si>
  <si>
    <t>5JL823301</t>
  </si>
  <si>
    <t>HINGE</t>
  </si>
  <si>
    <t>5JL823302</t>
  </si>
  <si>
    <t>5JL831111</t>
  </si>
  <si>
    <t>DOOR OUTER PANEL</t>
  </si>
  <si>
    <t>5JL831561</t>
  </si>
  <si>
    <t>5JL831563</t>
  </si>
  <si>
    <t>5JL831564</t>
  </si>
  <si>
    <t>5JL831601</t>
  </si>
  <si>
    <t>FRAME PART</t>
  </si>
  <si>
    <t>5JL831602</t>
  </si>
  <si>
    <t>5JL833123</t>
  </si>
  <si>
    <t>5JL833124</t>
  </si>
  <si>
    <t>5JL833311</t>
  </si>
  <si>
    <t>DOOR INNER PANEL</t>
  </si>
  <si>
    <t>5JL833563</t>
  </si>
  <si>
    <t>5JL833564</t>
  </si>
  <si>
    <t>5JN857509</t>
  </si>
  <si>
    <t>5JN863934</t>
  </si>
  <si>
    <t>6R0819465C</t>
  </si>
  <si>
    <t>ONE-WAY FLAP-TYPE</t>
  </si>
  <si>
    <t>5JL809702</t>
  </si>
  <si>
    <t>INSERT</t>
  </si>
  <si>
    <t>5JL845011C</t>
  </si>
  <si>
    <t>WINDSHIELD</t>
  </si>
  <si>
    <t>5QP803501E</t>
  </si>
  <si>
    <t>SIDE MEMBER,WHEEL</t>
  </si>
  <si>
    <t>STEERING WHEEL</t>
  </si>
  <si>
    <t>5JL253181C</t>
  </si>
  <si>
    <t>FRONT MUFFLER/REAR</t>
  </si>
  <si>
    <t>5JL867914  5AP</t>
  </si>
  <si>
    <t>WELT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</si>
</sst>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#,##0.000"/>
    <numFmt numFmtId="166" formatCode="#,##0.0000000000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SKODA Next"/>
      <family val="2"/>
    </font>
    <font>
      <sz val="10"/>
      <color theme="1"/>
      <name val="SKODA Next"/>
      <family val="2"/>
    </font>
    <font>
      <sz val="10"/>
      <name val="SKODA Next"/>
      <family val="2"/>
    </font>
    <font>
      <sz val="11"/>
      <color theme="1"/>
      <name val="Calibri"/>
      <family val="2"/>
      <scheme val="minor"/>
    </font>
    <font>
      <sz val="10"/>
      <color rgb="FF000000"/>
      <name val="SKODA Nex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horizontal="left" vertical="top" wrapText="1"/>
    </xf>
    <xf numFmtId="2" fontId="2" fillId="0" borderId="1" xfId="0" applyNumberFormat="1" applyFont="1" applyBorder="1"/>
    <xf numFmtId="2" fontId="0" fillId="0" borderId="0" xfId="0" applyNumberFormat="1"/>
    <xf numFmtId="4" fontId="0" fillId="0" borderId="0" xfId="0" applyNumberFormat="1"/>
    <xf numFmtId="0" fontId="0" fillId="3" borderId="0" xfId="0" applyFill="1"/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4" fillId="0" borderId="1" xfId="0" applyFont="1" applyBorder="1"/>
    <xf numFmtId="0" fontId="4" fillId="0" borderId="2" xfId="0" applyFont="1" applyBorder="1"/>
    <xf numFmtId="0" fontId="4" fillId="2" borderId="1" xfId="0" applyFont="1" applyFill="1" applyBorder="1"/>
    <xf numFmtId="4" fontId="4" fillId="0" borderId="1" xfId="0" applyNumberFormat="1" applyFont="1" applyBorder="1"/>
    <xf numFmtId="0" fontId="5" fillId="0" borderId="0" xfId="0" applyFont="1"/>
    <xf numFmtId="0" fontId="5" fillId="0" borderId="1" xfId="0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2" fontId="5" fillId="2" borderId="1" xfId="0" applyNumberFormat="1" applyFont="1" applyFill="1" applyBorder="1"/>
    <xf numFmtId="4" fontId="5" fillId="0" borderId="1" xfId="0" applyNumberFormat="1" applyFont="1" applyBorder="1"/>
    <xf numFmtId="2" fontId="5" fillId="0" borderId="0" xfId="0" applyNumberFormat="1" applyFont="1"/>
    <xf numFmtId="0" fontId="5" fillId="2" borderId="0" xfId="0" applyFont="1" applyFill="1"/>
    <xf numFmtId="4" fontId="5" fillId="0" borderId="0" xfId="0" applyNumberFormat="1" applyFont="1"/>
    <xf numFmtId="43" fontId="5" fillId="0" borderId="0" xfId="1" applyFont="1"/>
    <xf numFmtId="43" fontId="5" fillId="3" borderId="0" xfId="1" applyFont="1" applyFill="1"/>
    <xf numFmtId="43" fontId="5" fillId="0" borderId="0" xfId="0" applyNumberFormat="1" applyFont="1"/>
    <xf numFmtId="165" fontId="5" fillId="0" borderId="0" xfId="0" applyNumberFormat="1" applyFont="1"/>
    <xf numFmtId="43" fontId="5" fillId="2" borderId="0" xfId="1" applyFont="1" applyFill="1"/>
    <xf numFmtId="43" fontId="5" fillId="2" borderId="0" xfId="0" applyNumberFormat="1" applyFont="1" applyFill="1"/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/>
    <xf numFmtId="0" fontId="8" fillId="0" borderId="0" xfId="0" applyFont="1"/>
    <xf numFmtId="166" fontId="5" fillId="0" borderId="0" xfId="0" applyNumberFormat="1" applyFont="1"/>
    <xf numFmtId="164" fontId="5" fillId="0" borderId="0" xfId="0" applyNumberFormat="1" applyFont="1"/>
    <xf numFmtId="16" fontId="5" fillId="0" borderId="0" xfId="0" applyNumberFormat="1" applyFont="1"/>
    <xf numFmtId="0" fontId="5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2"/>
  <sheetViews>
    <sheetView tabSelected="1" zoomScaleNormal="100" workbookViewId="0">
      <pane ySplit="1" topLeftCell="A11" activePane="bottomLeft" state="frozen"/>
      <selection pane="bottomLeft" activeCell="E52" sqref="E52"/>
    </sheetView>
  </sheetViews>
  <sheetFormatPr defaultColWidth="9.140625" defaultRowHeight="12.75" x14ac:dyDescent="0.2"/>
  <cols>
    <col min="1" max="1" width="9" style="16" bestFit="1" customWidth="1"/>
    <col min="2" max="2" width="17.7109375" style="16" bestFit="1" customWidth="1"/>
    <col min="3" max="3" width="34.5703125" style="16" bestFit="1" customWidth="1"/>
    <col min="4" max="4" width="79.85546875" style="16" bestFit="1" customWidth="1"/>
    <col min="5" max="5" width="12.5703125" style="16" customWidth="1"/>
    <col min="6" max="6" width="10.140625" style="16" bestFit="1" customWidth="1"/>
    <col min="7" max="7" width="7.42578125" style="16" bestFit="1" customWidth="1"/>
    <col min="8" max="8" width="10.5703125" style="16" bestFit="1" customWidth="1"/>
    <col min="9" max="9" width="11.42578125" style="16" bestFit="1" customWidth="1"/>
    <col min="10" max="10" width="15.5703125" style="16" customWidth="1"/>
    <col min="11" max="11" width="11.5703125" style="16" customWidth="1"/>
    <col min="12" max="12" width="25" style="16" bestFit="1" customWidth="1"/>
    <col min="13" max="13" width="15.140625" style="23" bestFit="1" customWidth="1"/>
    <col min="14" max="14" width="18.7109375" style="23" bestFit="1" customWidth="1"/>
    <col min="15" max="15" width="28" style="24" bestFit="1" customWidth="1"/>
    <col min="16" max="16" width="19.28515625" style="23" bestFit="1" customWidth="1"/>
    <col min="17" max="16384" width="9.140625" style="16"/>
  </cols>
  <sheetData>
    <row r="1" spans="1:22" x14ac:dyDescent="0.2">
      <c r="A1" s="12" t="s">
        <v>240</v>
      </c>
      <c r="B1" s="12" t="s">
        <v>239</v>
      </c>
      <c r="C1" s="12" t="s">
        <v>241</v>
      </c>
      <c r="D1" s="13"/>
      <c r="E1" s="13" t="s">
        <v>242</v>
      </c>
      <c r="F1" s="13" t="s">
        <v>12</v>
      </c>
      <c r="G1" s="12" t="s">
        <v>3</v>
      </c>
      <c r="H1" s="12" t="s">
        <v>4</v>
      </c>
      <c r="I1" s="12" t="s">
        <v>243</v>
      </c>
      <c r="J1" s="12" t="s">
        <v>244</v>
      </c>
      <c r="K1" s="12" t="s">
        <v>7</v>
      </c>
      <c r="L1" s="12" t="s">
        <v>245</v>
      </c>
      <c r="M1" s="14" t="s">
        <v>246</v>
      </c>
      <c r="N1" s="14" t="s">
        <v>247</v>
      </c>
      <c r="O1" s="15" t="s">
        <v>248</v>
      </c>
      <c r="P1" s="14" t="s">
        <v>249</v>
      </c>
    </row>
    <row r="2" spans="1:22" x14ac:dyDescent="0.2">
      <c r="A2" s="17">
        <v>1</v>
      </c>
      <c r="B2" s="38" t="s">
        <v>263</v>
      </c>
      <c r="C2" s="17" t="s">
        <v>264</v>
      </c>
      <c r="D2" s="33" t="str">
        <f t="shared" ref="D2:D47" si="0">Q$2&amp;" "&amp;B2&amp;"  "&amp;C2</f>
        <v>Parts &amp; Components of Passenger Car - Part no. 5QP805115  WHEEL HOUSING,FR</v>
      </c>
      <c r="E2" s="17">
        <v>87089900</v>
      </c>
      <c r="F2" s="17">
        <v>870899</v>
      </c>
      <c r="G2" s="32" t="s">
        <v>226</v>
      </c>
      <c r="H2" s="17">
        <v>32</v>
      </c>
      <c r="I2" s="17">
        <v>10.69</v>
      </c>
      <c r="J2" s="18">
        <f>H2*I2</f>
        <v>342.08</v>
      </c>
      <c r="K2" s="19">
        <v>113.63200000000001</v>
      </c>
      <c r="L2" s="18">
        <f>J2/$J$48*$J$52</f>
        <v>85.843034816047563</v>
      </c>
      <c r="M2" s="20">
        <f t="shared" ref="M2" si="1">L2+J2</f>
        <v>427.92303481604756</v>
      </c>
      <c r="N2" s="20">
        <f>M2/H2</f>
        <v>13.372594838001486</v>
      </c>
      <c r="O2" s="21">
        <f>J2/$J$48*$J$51</f>
        <v>15.076298197613747</v>
      </c>
      <c r="P2" s="20">
        <f>M2-O2</f>
        <v>412.84673661843379</v>
      </c>
      <c r="Q2" s="16" t="s">
        <v>250</v>
      </c>
      <c r="V2" s="16">
        <v>89.388000000000005</v>
      </c>
    </row>
    <row r="3" spans="1:22" x14ac:dyDescent="0.2">
      <c r="A3" s="17">
        <v>2</v>
      </c>
      <c r="B3" s="38" t="s">
        <v>265</v>
      </c>
      <c r="C3" s="17" t="s">
        <v>266</v>
      </c>
      <c r="D3" s="33" t="str">
        <f t="shared" si="0"/>
        <v>Parts &amp; Components of Passenger Car - Part no. 5QP803205A  FLOOR ASSEMBLY,FR</v>
      </c>
      <c r="E3" s="17">
        <v>87089900</v>
      </c>
      <c r="F3" s="17">
        <v>870899</v>
      </c>
      <c r="G3" s="32" t="s">
        <v>226</v>
      </c>
      <c r="H3" s="17">
        <v>60</v>
      </c>
      <c r="I3" s="17">
        <v>6.57</v>
      </c>
      <c r="J3" s="18">
        <f t="shared" ref="J3:J47" si="2">H3*I3</f>
        <v>394.20000000000005</v>
      </c>
      <c r="K3" s="19">
        <v>207.84</v>
      </c>
      <c r="L3" s="18">
        <f>J3/$J$48*$J$52</f>
        <v>98.922253053338281</v>
      </c>
      <c r="M3" s="20">
        <f t="shared" ref="M3:M18" si="3">L3+J3</f>
        <v>493.12225305333834</v>
      </c>
      <c r="N3" s="20">
        <f t="shared" ref="N3:N18" si="4">M3/H3</f>
        <v>8.2187042175556382</v>
      </c>
      <c r="O3" s="21">
        <f>J3/$J$48*$J$51</f>
        <v>17.373353453868511</v>
      </c>
      <c r="P3" s="20">
        <f t="shared" ref="P3:P18" si="5">M3-O3</f>
        <v>475.74889959946984</v>
      </c>
    </row>
    <row r="4" spans="1:22" x14ac:dyDescent="0.2">
      <c r="A4" s="17">
        <v>3</v>
      </c>
      <c r="B4" s="38" t="s">
        <v>267</v>
      </c>
      <c r="C4" s="17" t="s">
        <v>266</v>
      </c>
      <c r="D4" s="33" t="str">
        <f t="shared" si="0"/>
        <v>Parts &amp; Components of Passenger Car - Part no. 5QP803206A  FLOOR ASSEMBLY,FR</v>
      </c>
      <c r="E4" s="17">
        <v>87089900</v>
      </c>
      <c r="F4" s="17">
        <v>870899</v>
      </c>
      <c r="G4" s="32" t="s">
        <v>226</v>
      </c>
      <c r="H4" s="17">
        <v>60</v>
      </c>
      <c r="I4" s="17">
        <v>6.58</v>
      </c>
      <c r="J4" s="18">
        <f t="shared" si="2"/>
        <v>394.8</v>
      </c>
      <c r="K4" s="19">
        <v>201.12</v>
      </c>
      <c r="L4" s="18">
        <f>J4/$J$48*$J$52</f>
        <v>99.072819648548816</v>
      </c>
      <c r="M4" s="20">
        <f t="shared" si="3"/>
        <v>493.87281964854884</v>
      </c>
      <c r="N4" s="20">
        <f t="shared" si="4"/>
        <v>8.2312136608091482</v>
      </c>
      <c r="O4" s="21">
        <f>J4/$J$48*$J$51</f>
        <v>17.399796914224471</v>
      </c>
      <c r="P4" s="20">
        <f t="shared" si="5"/>
        <v>476.47302273432439</v>
      </c>
    </row>
    <row r="5" spans="1:22" x14ac:dyDescent="0.2">
      <c r="A5" s="17">
        <v>4</v>
      </c>
      <c r="B5" s="38" t="s">
        <v>268</v>
      </c>
      <c r="C5" s="17" t="s">
        <v>269</v>
      </c>
      <c r="D5" s="33" t="str">
        <f t="shared" si="0"/>
        <v>Parts &amp; Components of Passenger Car - Part no. 6JM839015A  DOOR LOCK</v>
      </c>
      <c r="E5" s="17">
        <v>83012000</v>
      </c>
      <c r="F5" s="17">
        <v>830199</v>
      </c>
      <c r="G5" s="32" t="s">
        <v>226</v>
      </c>
      <c r="H5" s="17">
        <v>80</v>
      </c>
      <c r="I5" s="17">
        <v>6.8</v>
      </c>
      <c r="J5" s="18">
        <f t="shared" si="2"/>
        <v>544</v>
      </c>
      <c r="K5" s="19">
        <v>36.32</v>
      </c>
      <c r="L5" s="18">
        <f>J5/$J$48*$J$52</f>
        <v>136.5137129909082</v>
      </c>
      <c r="M5" s="20">
        <f t="shared" si="3"/>
        <v>680.51371299090818</v>
      </c>
      <c r="N5" s="20">
        <f t="shared" si="4"/>
        <v>8.5064214123863522</v>
      </c>
      <c r="O5" s="21">
        <f>J5/$J$48*$J$51</f>
        <v>23.975404056074247</v>
      </c>
      <c r="P5" s="20">
        <f t="shared" si="5"/>
        <v>656.53830893483394</v>
      </c>
    </row>
    <row r="6" spans="1:22" x14ac:dyDescent="0.2">
      <c r="A6" s="17">
        <v>5</v>
      </c>
      <c r="B6" s="38" t="s">
        <v>270</v>
      </c>
      <c r="C6" s="17" t="s">
        <v>269</v>
      </c>
      <c r="D6" s="33" t="str">
        <f t="shared" si="0"/>
        <v>Parts &amp; Components of Passenger Car - Part no. 6JN837015A  DOOR LOCK</v>
      </c>
      <c r="E6" s="17">
        <v>83012000</v>
      </c>
      <c r="F6" s="17">
        <v>830199</v>
      </c>
      <c r="G6" s="32" t="s">
        <v>226</v>
      </c>
      <c r="H6" s="17">
        <v>80</v>
      </c>
      <c r="I6" s="17">
        <v>6.77</v>
      </c>
      <c r="J6" s="18">
        <f t="shared" si="2"/>
        <v>541.59999999999991</v>
      </c>
      <c r="K6" s="19">
        <v>36.64</v>
      </c>
      <c r="L6" s="18">
        <f>J6/$J$48*$J$52</f>
        <v>135.91144661006592</v>
      </c>
      <c r="M6" s="20">
        <f t="shared" si="3"/>
        <v>677.51144661006583</v>
      </c>
      <c r="N6" s="20">
        <f t="shared" si="4"/>
        <v>8.4688930826258222</v>
      </c>
      <c r="O6" s="21">
        <f>J6/$J$48*$J$51</f>
        <v>23.869630214650385</v>
      </c>
      <c r="P6" s="20">
        <f t="shared" si="5"/>
        <v>653.64181639541539</v>
      </c>
    </row>
    <row r="7" spans="1:22" x14ac:dyDescent="0.2">
      <c r="A7" s="17">
        <v>6</v>
      </c>
      <c r="B7" s="38" t="s">
        <v>271</v>
      </c>
      <c r="C7" s="17" t="s">
        <v>269</v>
      </c>
      <c r="D7" s="33" t="str">
        <f t="shared" si="0"/>
        <v>Parts &amp; Components of Passenger Car - Part no. 6JN837016A  DOOR LOCK</v>
      </c>
      <c r="E7" s="17">
        <v>83012000</v>
      </c>
      <c r="F7" s="17">
        <v>830199</v>
      </c>
      <c r="G7" s="32" t="s">
        <v>226</v>
      </c>
      <c r="H7" s="17">
        <v>80</v>
      </c>
      <c r="I7" s="17">
        <v>6.78</v>
      </c>
      <c r="J7" s="18">
        <f t="shared" si="2"/>
        <v>542.4</v>
      </c>
      <c r="K7" s="19">
        <v>36.32</v>
      </c>
      <c r="L7" s="18">
        <f>J7/$J$48*$J$52</f>
        <v>136.11220207034668</v>
      </c>
      <c r="M7" s="20">
        <f t="shared" si="3"/>
        <v>678.51220207034669</v>
      </c>
      <c r="N7" s="20">
        <f t="shared" si="4"/>
        <v>8.481402525879334</v>
      </c>
      <c r="O7" s="21">
        <f>J7/$J$48*$J$51</f>
        <v>23.904888161791671</v>
      </c>
      <c r="P7" s="20">
        <f t="shared" si="5"/>
        <v>654.60731390855506</v>
      </c>
    </row>
    <row r="8" spans="1:22" x14ac:dyDescent="0.2">
      <c r="A8" s="17">
        <v>7</v>
      </c>
      <c r="B8" s="38" t="s">
        <v>272</v>
      </c>
      <c r="C8" s="17" t="s">
        <v>273</v>
      </c>
      <c r="D8" s="33" t="str">
        <f t="shared" si="0"/>
        <v>Parts &amp; Components of Passenger Car - Part no. 5QP801252A  SILL, INNER</v>
      </c>
      <c r="E8" s="17">
        <v>87089900</v>
      </c>
      <c r="F8" s="17">
        <v>870899</v>
      </c>
      <c r="G8" s="32" t="s">
        <v>226</v>
      </c>
      <c r="H8" s="17">
        <v>28</v>
      </c>
      <c r="I8" s="17">
        <v>12.98</v>
      </c>
      <c r="J8" s="18">
        <f t="shared" si="2"/>
        <v>363.44</v>
      </c>
      <c r="K8" s="19">
        <v>174.49600000000001</v>
      </c>
      <c r="L8" s="18">
        <f>J8/$J$48*$J$52</f>
        <v>91.203205605543531</v>
      </c>
      <c r="M8" s="20">
        <f t="shared" si="3"/>
        <v>454.64320560554353</v>
      </c>
      <c r="N8" s="20">
        <f t="shared" si="4"/>
        <v>16.237257343055127</v>
      </c>
      <c r="O8" s="21">
        <f>J8/$J$48*$J$51</f>
        <v>16.017685386286075</v>
      </c>
      <c r="P8" s="20">
        <f t="shared" si="5"/>
        <v>438.62552021925745</v>
      </c>
    </row>
    <row r="9" spans="1:22" x14ac:dyDescent="0.2">
      <c r="A9" s="17">
        <v>8</v>
      </c>
      <c r="B9" s="38" t="s">
        <v>274</v>
      </c>
      <c r="C9" s="17" t="s">
        <v>275</v>
      </c>
      <c r="D9" s="33" t="str">
        <f t="shared" si="0"/>
        <v>Parts &amp; Components of Passenger Car - Part no. 5JL802124  A-PILLAR,LOWER INN</v>
      </c>
      <c r="E9" s="17">
        <v>87082900</v>
      </c>
      <c r="F9" s="17">
        <v>870899</v>
      </c>
      <c r="G9" s="32" t="s">
        <v>226</v>
      </c>
      <c r="H9" s="17">
        <v>32</v>
      </c>
      <c r="I9" s="17">
        <v>8.49</v>
      </c>
      <c r="J9" s="18">
        <f t="shared" si="2"/>
        <v>271.68</v>
      </c>
      <c r="K9" s="19">
        <v>101.952</v>
      </c>
      <c r="L9" s="18">
        <f>J9/$J$48*$J$52</f>
        <v>68.176554311341803</v>
      </c>
      <c r="M9" s="20">
        <f t="shared" si="3"/>
        <v>339.85655431134182</v>
      </c>
      <c r="N9" s="20">
        <f t="shared" si="4"/>
        <v>10.620517322229432</v>
      </c>
      <c r="O9" s="21">
        <f>J9/$J$48*$J$51</f>
        <v>11.973598849180608</v>
      </c>
      <c r="P9" s="20">
        <f t="shared" si="5"/>
        <v>327.88295546216119</v>
      </c>
    </row>
    <row r="10" spans="1:22" x14ac:dyDescent="0.2">
      <c r="A10" s="17">
        <v>9</v>
      </c>
      <c r="B10" s="38" t="s">
        <v>276</v>
      </c>
      <c r="C10" s="17" t="s">
        <v>277</v>
      </c>
      <c r="D10" s="33" t="str">
        <f t="shared" si="0"/>
        <v>Parts &amp; Components of Passenger Car - Part no. 5JL809065  REINFORCEMENT</v>
      </c>
      <c r="E10" s="17">
        <v>87089900</v>
      </c>
      <c r="F10" s="17">
        <v>870899</v>
      </c>
      <c r="G10" s="32" t="s">
        <v>226</v>
      </c>
      <c r="H10" s="17">
        <v>100</v>
      </c>
      <c r="I10" s="17">
        <v>0.46</v>
      </c>
      <c r="J10" s="18">
        <f t="shared" si="2"/>
        <v>46</v>
      </c>
      <c r="K10" s="19">
        <v>12.2</v>
      </c>
      <c r="L10" s="18">
        <f>J10/$J$48*$J$52</f>
        <v>11.543438966142972</v>
      </c>
      <c r="M10" s="20">
        <f t="shared" si="3"/>
        <v>57.543438966142972</v>
      </c>
      <c r="N10" s="20">
        <f t="shared" si="4"/>
        <v>0.57543438966142968</v>
      </c>
      <c r="O10" s="21">
        <f>J10/$J$48*$J$51</f>
        <v>2.0273319606239251</v>
      </c>
      <c r="P10" s="20">
        <f t="shared" si="5"/>
        <v>55.516107005519046</v>
      </c>
    </row>
    <row r="11" spans="1:22" x14ac:dyDescent="0.2">
      <c r="A11" s="17">
        <v>10</v>
      </c>
      <c r="B11" s="38" t="s">
        <v>258</v>
      </c>
      <c r="C11" s="17" t="s">
        <v>259</v>
      </c>
      <c r="D11" s="33" t="str">
        <f t="shared" si="0"/>
        <v>Parts &amp; Components of Passenger Car - Part no. 5JL809377  SILL</v>
      </c>
      <c r="E11" s="17">
        <v>87082900</v>
      </c>
      <c r="F11" s="17">
        <v>870899</v>
      </c>
      <c r="G11" s="32" t="s">
        <v>226</v>
      </c>
      <c r="H11" s="17">
        <v>32</v>
      </c>
      <c r="I11" s="17">
        <v>11.54</v>
      </c>
      <c r="J11" s="18">
        <f t="shared" si="2"/>
        <v>369.28</v>
      </c>
      <c r="K11" s="19">
        <v>172.73599999999999</v>
      </c>
      <c r="L11" s="18">
        <f>J11/$J$48*$J$52</f>
        <v>92.668720465592969</v>
      </c>
      <c r="M11" s="20">
        <f t="shared" si="3"/>
        <v>461.94872046559294</v>
      </c>
      <c r="N11" s="20">
        <f t="shared" si="4"/>
        <v>14.435897514549779</v>
      </c>
      <c r="O11" s="21">
        <f>J11/$J$48*$J$51</f>
        <v>16.275068400417457</v>
      </c>
      <c r="P11" s="20">
        <f t="shared" si="5"/>
        <v>445.67365206517547</v>
      </c>
    </row>
    <row r="12" spans="1:22" x14ac:dyDescent="0.2">
      <c r="A12" s="17">
        <v>11</v>
      </c>
      <c r="B12" s="38" t="s">
        <v>278</v>
      </c>
      <c r="C12" s="17" t="s">
        <v>259</v>
      </c>
      <c r="D12" s="33" t="str">
        <f t="shared" si="0"/>
        <v>Parts &amp; Components of Passenger Car - Part no. 5JL809378  SILL</v>
      </c>
      <c r="E12" s="17">
        <v>87082900</v>
      </c>
      <c r="F12" s="17">
        <v>870899</v>
      </c>
      <c r="G12" s="32" t="s">
        <v>226</v>
      </c>
      <c r="H12" s="17">
        <v>16</v>
      </c>
      <c r="I12" s="17">
        <v>10.9</v>
      </c>
      <c r="J12" s="18">
        <f t="shared" si="2"/>
        <v>174.4</v>
      </c>
      <c r="K12" s="19">
        <v>86.352000000000004</v>
      </c>
      <c r="L12" s="18">
        <f>J12/$J$48*$J$52</f>
        <v>43.764690341202922</v>
      </c>
      <c r="M12" s="20">
        <f t="shared" si="3"/>
        <v>218.16469034120291</v>
      </c>
      <c r="N12" s="20">
        <f t="shared" si="4"/>
        <v>13.635293146325182</v>
      </c>
      <c r="O12" s="21">
        <f>J12/$J$48*$J$51</f>
        <v>7.6862324768002726</v>
      </c>
      <c r="P12" s="20">
        <f t="shared" si="5"/>
        <v>210.47845786440263</v>
      </c>
    </row>
    <row r="13" spans="1:22" x14ac:dyDescent="0.2">
      <c r="A13" s="17">
        <v>12</v>
      </c>
      <c r="B13" s="38" t="s">
        <v>256</v>
      </c>
      <c r="C13" s="17" t="s">
        <v>255</v>
      </c>
      <c r="D13" s="33" t="str">
        <f t="shared" si="0"/>
        <v>Parts &amp; Components of Passenger Car - Part no. 5JL809605  SIDE PANEL</v>
      </c>
      <c r="E13" s="17">
        <v>87082900</v>
      </c>
      <c r="F13" s="17">
        <v>870899</v>
      </c>
      <c r="G13" s="32" t="s">
        <v>226</v>
      </c>
      <c r="H13" s="17">
        <v>8</v>
      </c>
      <c r="I13" s="17">
        <v>29.46</v>
      </c>
      <c r="J13" s="18">
        <f t="shared" si="2"/>
        <v>235.68</v>
      </c>
      <c r="K13" s="19">
        <v>103.04</v>
      </c>
      <c r="L13" s="18">
        <f>J13/$J$48*$J$52</f>
        <v>59.142558598708177</v>
      </c>
      <c r="M13" s="20">
        <f t="shared" si="3"/>
        <v>294.82255859870816</v>
      </c>
      <c r="N13" s="20">
        <f t="shared" si="4"/>
        <v>36.852819824838519</v>
      </c>
      <c r="O13" s="21">
        <f>J13/$J$48*$J$51</f>
        <v>10.386991227822755</v>
      </c>
      <c r="P13" s="20">
        <f t="shared" si="5"/>
        <v>284.43556737088539</v>
      </c>
    </row>
    <row r="14" spans="1:22" x14ac:dyDescent="0.2">
      <c r="A14" s="17">
        <v>13</v>
      </c>
      <c r="B14" s="38" t="s">
        <v>279</v>
      </c>
      <c r="C14" s="17" t="s">
        <v>280</v>
      </c>
      <c r="D14" s="33" t="str">
        <f t="shared" si="0"/>
        <v>Parts &amp; Components of Passenger Car - Part no. 5JL809621  HINGE REINF.</v>
      </c>
      <c r="E14" s="17">
        <v>87089900</v>
      </c>
      <c r="F14" s="17">
        <v>870899</v>
      </c>
      <c r="G14" s="32" t="s">
        <v>226</v>
      </c>
      <c r="H14" s="17">
        <v>90</v>
      </c>
      <c r="I14" s="17">
        <v>1.02</v>
      </c>
      <c r="J14" s="18">
        <f t="shared" si="2"/>
        <v>91.8</v>
      </c>
      <c r="K14" s="19">
        <v>28.62</v>
      </c>
      <c r="L14" s="18">
        <f>J14/$J$48*$J$52</f>
        <v>23.036689067215761</v>
      </c>
      <c r="M14" s="20">
        <f t="shared" si="3"/>
        <v>114.83668906721576</v>
      </c>
      <c r="N14" s="20">
        <f t="shared" si="4"/>
        <v>1.2759632118579529</v>
      </c>
      <c r="O14" s="21">
        <f>J14/$J$48*$J$51</f>
        <v>4.0458494344625295</v>
      </c>
      <c r="P14" s="20">
        <f t="shared" si="5"/>
        <v>110.79083963275323</v>
      </c>
    </row>
    <row r="15" spans="1:22" x14ac:dyDescent="0.2">
      <c r="A15" s="17">
        <v>14</v>
      </c>
      <c r="B15" s="38" t="s">
        <v>281</v>
      </c>
      <c r="C15" s="17" t="s">
        <v>280</v>
      </c>
      <c r="D15" s="33" t="str">
        <f t="shared" si="0"/>
        <v>Parts &amp; Components of Passenger Car - Part no. 5JL809622  HINGE REINF.</v>
      </c>
      <c r="E15" s="17">
        <v>87089900</v>
      </c>
      <c r="F15" s="17">
        <v>870899</v>
      </c>
      <c r="G15" s="32" t="s">
        <v>226</v>
      </c>
      <c r="H15" s="17">
        <v>90</v>
      </c>
      <c r="I15" s="17">
        <v>1.02</v>
      </c>
      <c r="J15" s="18">
        <f t="shared" si="2"/>
        <v>91.8</v>
      </c>
      <c r="K15" s="19">
        <v>28.62</v>
      </c>
      <c r="L15" s="18">
        <f>J15/$J$48*$J$52</f>
        <v>23.036689067215761</v>
      </c>
      <c r="M15" s="20">
        <f t="shared" si="3"/>
        <v>114.83668906721576</v>
      </c>
      <c r="N15" s="20">
        <f t="shared" si="4"/>
        <v>1.2759632118579529</v>
      </c>
      <c r="O15" s="21">
        <f>J15/$J$48*$J$51</f>
        <v>4.0458494344625295</v>
      </c>
      <c r="P15" s="20">
        <f t="shared" si="5"/>
        <v>110.79083963275323</v>
      </c>
    </row>
    <row r="16" spans="1:22" x14ac:dyDescent="0.2">
      <c r="A16" s="17">
        <v>15</v>
      </c>
      <c r="B16" s="38" t="s">
        <v>282</v>
      </c>
      <c r="C16" s="17" t="s">
        <v>283</v>
      </c>
      <c r="D16" s="33" t="str">
        <f t="shared" si="0"/>
        <v>Parts &amp; Components of Passenger Car - Part no. 5JL810421  SIDE PANEL,INNER,</v>
      </c>
      <c r="E16" s="17">
        <v>87082900</v>
      </c>
      <c r="F16" s="17">
        <v>870899</v>
      </c>
      <c r="G16" s="32" t="s">
        <v>226</v>
      </c>
      <c r="H16" s="17">
        <v>114</v>
      </c>
      <c r="I16" s="17">
        <v>0.61</v>
      </c>
      <c r="J16" s="18">
        <f t="shared" si="2"/>
        <v>69.539999999999992</v>
      </c>
      <c r="K16" s="19">
        <v>19.494</v>
      </c>
      <c r="L16" s="18">
        <f>J16/$J$48*$J$52</f>
        <v>17.45066838490396</v>
      </c>
      <c r="M16" s="20">
        <f t="shared" si="3"/>
        <v>86.990668384903955</v>
      </c>
      <c r="N16" s="20">
        <f t="shared" si="4"/>
        <v>0.76307603846406979</v>
      </c>
      <c r="O16" s="21">
        <f>J16/$J$48*$J$51</f>
        <v>3.0647970552562551</v>
      </c>
      <c r="P16" s="20">
        <f t="shared" si="5"/>
        <v>83.925871329647705</v>
      </c>
    </row>
    <row r="17" spans="1:16" x14ac:dyDescent="0.2">
      <c r="A17" s="17">
        <v>16</v>
      </c>
      <c r="B17" s="38" t="s">
        <v>284</v>
      </c>
      <c r="C17" s="17" t="s">
        <v>283</v>
      </c>
      <c r="D17" s="33" t="str">
        <f t="shared" si="0"/>
        <v>Parts &amp; Components of Passenger Car - Part no. 5JL810422  SIDE PANEL,INNER,</v>
      </c>
      <c r="E17" s="17">
        <v>87082900</v>
      </c>
      <c r="F17" s="17">
        <v>870899</v>
      </c>
      <c r="G17" s="32" t="s">
        <v>226</v>
      </c>
      <c r="H17" s="17">
        <v>114</v>
      </c>
      <c r="I17" s="17">
        <v>0.61</v>
      </c>
      <c r="J17" s="18">
        <f t="shared" si="2"/>
        <v>69.539999999999992</v>
      </c>
      <c r="K17" s="19">
        <v>19.38</v>
      </c>
      <c r="L17" s="18">
        <f>J17/$J$48*$J$52</f>
        <v>17.45066838490396</v>
      </c>
      <c r="M17" s="20">
        <f t="shared" si="3"/>
        <v>86.990668384903955</v>
      </c>
      <c r="N17" s="20">
        <f t="shared" si="4"/>
        <v>0.76307603846406979</v>
      </c>
      <c r="O17" s="21">
        <f>J17/$J$48*$J$51</f>
        <v>3.0647970552562551</v>
      </c>
      <c r="P17" s="20">
        <f t="shared" si="5"/>
        <v>83.925871329647705</v>
      </c>
    </row>
    <row r="18" spans="1:16" x14ac:dyDescent="0.2">
      <c r="A18" s="17">
        <v>17</v>
      </c>
      <c r="B18" s="38" t="s">
        <v>285</v>
      </c>
      <c r="C18" s="17" t="s">
        <v>286</v>
      </c>
      <c r="D18" s="33" t="str">
        <f t="shared" si="0"/>
        <v>Parts &amp; Components of Passenger Car - Part no. 5JL813501B  REAR PANEL</v>
      </c>
      <c r="E18" s="17">
        <v>87081090</v>
      </c>
      <c r="F18" s="17">
        <v>870899</v>
      </c>
      <c r="G18" s="32" t="s">
        <v>226</v>
      </c>
      <c r="H18" s="17">
        <v>7</v>
      </c>
      <c r="I18" s="17">
        <v>23.7</v>
      </c>
      <c r="J18" s="18">
        <f t="shared" si="2"/>
        <v>165.9</v>
      </c>
      <c r="K18" s="19">
        <v>89.152000000000001</v>
      </c>
      <c r="L18" s="18">
        <f>J18/$J$48*$J$52</f>
        <v>41.631663575719983</v>
      </c>
      <c r="M18" s="20">
        <f t="shared" si="3"/>
        <v>207.53166357571999</v>
      </c>
      <c r="N18" s="20">
        <f t="shared" si="4"/>
        <v>29.64738051081714</v>
      </c>
      <c r="O18" s="21">
        <f>J18/$J$48*$J$51</f>
        <v>7.3116167884241134</v>
      </c>
      <c r="P18" s="20">
        <f t="shared" si="5"/>
        <v>200.22004678729587</v>
      </c>
    </row>
    <row r="19" spans="1:16" x14ac:dyDescent="0.2">
      <c r="A19" s="17">
        <v>18</v>
      </c>
      <c r="B19" s="38" t="s">
        <v>287</v>
      </c>
      <c r="C19" s="17" t="s">
        <v>288</v>
      </c>
      <c r="D19" s="33" t="str">
        <f t="shared" si="0"/>
        <v>Parts &amp; Components of Passenger Car - Part no. 5JL817111A  ROOF</v>
      </c>
      <c r="E19" s="17">
        <v>87082900</v>
      </c>
      <c r="F19" s="17">
        <v>870899</v>
      </c>
      <c r="G19" s="32" t="s">
        <v>226</v>
      </c>
      <c r="H19" s="17">
        <v>22</v>
      </c>
      <c r="I19" s="17">
        <v>20.420000000000002</v>
      </c>
      <c r="J19" s="18">
        <f t="shared" si="2"/>
        <v>449.24</v>
      </c>
      <c r="K19" s="19">
        <v>167.26599999999999</v>
      </c>
      <c r="L19" s="18">
        <f>J19/$J$48*$J$52</f>
        <v>112.73422872065368</v>
      </c>
      <c r="M19" s="20">
        <f t="shared" ref="M19:M21" si="6">L19+J19</f>
        <v>561.97422872065363</v>
      </c>
      <c r="N19" s="20">
        <f t="shared" ref="N19:N21" si="7">M19/H19</f>
        <v>25.544283123666073</v>
      </c>
      <c r="O19" s="21">
        <f>J19/$J$48*$J$51</f>
        <v>19.799100217188961</v>
      </c>
      <c r="P19" s="20">
        <f t="shared" ref="P19:P21" si="8">M19-O19</f>
        <v>542.17512850346463</v>
      </c>
    </row>
    <row r="20" spans="1:16" x14ac:dyDescent="0.2">
      <c r="A20" s="17">
        <v>19</v>
      </c>
      <c r="B20" s="38" t="s">
        <v>289</v>
      </c>
      <c r="C20" s="17" t="s">
        <v>290</v>
      </c>
      <c r="D20" s="33" t="str">
        <f t="shared" si="0"/>
        <v>Parts &amp; Components of Passenger Car - Part no. 5JL821135  STRUT</v>
      </c>
      <c r="E20" s="17">
        <v>87089900</v>
      </c>
      <c r="F20" s="17">
        <v>870899</v>
      </c>
      <c r="G20" s="32" t="s">
        <v>226</v>
      </c>
      <c r="H20" s="17">
        <v>72</v>
      </c>
      <c r="I20" s="17">
        <v>0.64</v>
      </c>
      <c r="J20" s="18">
        <f t="shared" si="2"/>
        <v>46.08</v>
      </c>
      <c r="K20" s="19">
        <v>17.928000000000001</v>
      </c>
      <c r="L20" s="18">
        <f>J20/$J$48*$J$52</f>
        <v>11.563514512171047</v>
      </c>
      <c r="M20" s="20">
        <f t="shared" si="6"/>
        <v>57.643514512171045</v>
      </c>
      <c r="N20" s="20">
        <f t="shared" si="7"/>
        <v>0.8006043682245978</v>
      </c>
      <c r="O20" s="21">
        <f>J20/$J$48*$J$51</f>
        <v>2.0308577553380536</v>
      </c>
      <c r="P20" s="20">
        <f t="shared" si="8"/>
        <v>55.61265675683299</v>
      </c>
    </row>
    <row r="21" spans="1:16" x14ac:dyDescent="0.2">
      <c r="A21" s="17">
        <v>20</v>
      </c>
      <c r="B21" s="38" t="s">
        <v>291</v>
      </c>
      <c r="C21" s="17" t="s">
        <v>290</v>
      </c>
      <c r="D21" s="33" t="str">
        <f t="shared" si="0"/>
        <v>Parts &amp; Components of Passenger Car - Part no. 5JL821136  STRUT</v>
      </c>
      <c r="E21" s="17">
        <v>87089900</v>
      </c>
      <c r="F21" s="17">
        <v>870899</v>
      </c>
      <c r="G21" s="32" t="s">
        <v>226</v>
      </c>
      <c r="H21" s="17">
        <v>72</v>
      </c>
      <c r="I21" s="17">
        <v>0.64</v>
      </c>
      <c r="J21" s="18">
        <f t="shared" si="2"/>
        <v>46.08</v>
      </c>
      <c r="K21" s="19">
        <v>17.928000000000001</v>
      </c>
      <c r="L21" s="18">
        <f>J21/$J$48*$J$52</f>
        <v>11.563514512171047</v>
      </c>
      <c r="M21" s="20">
        <f t="shared" si="6"/>
        <v>57.643514512171045</v>
      </c>
      <c r="N21" s="20">
        <f t="shared" si="7"/>
        <v>0.8006043682245978</v>
      </c>
      <c r="O21" s="21">
        <f>J21/$J$48*$J$51</f>
        <v>2.0308577553380536</v>
      </c>
      <c r="P21" s="20">
        <f t="shared" si="8"/>
        <v>55.61265675683299</v>
      </c>
    </row>
    <row r="22" spans="1:16" x14ac:dyDescent="0.2">
      <c r="A22" s="17">
        <v>21</v>
      </c>
      <c r="B22" s="38" t="s">
        <v>292</v>
      </c>
      <c r="C22" s="17" t="s">
        <v>293</v>
      </c>
      <c r="D22" s="33" t="str">
        <f t="shared" si="0"/>
        <v>Parts &amp; Components of Passenger Car - Part no. 5JL823105  OUTER PANEL,ENGINE</v>
      </c>
      <c r="E22" s="17">
        <v>87082900</v>
      </c>
      <c r="F22" s="17">
        <v>870899</v>
      </c>
      <c r="G22" s="32" t="s">
        <v>226</v>
      </c>
      <c r="H22" s="17">
        <v>50</v>
      </c>
      <c r="I22" s="17">
        <v>13.92</v>
      </c>
      <c r="J22" s="18">
        <f t="shared" si="2"/>
        <v>696</v>
      </c>
      <c r="K22" s="19">
        <v>364.2</v>
      </c>
      <c r="L22" s="18">
        <f>J22/$J$48*$J$52</f>
        <v>174.6572504442502</v>
      </c>
      <c r="M22" s="20">
        <f t="shared" ref="M22:M47" si="9">L22+J22</f>
        <v>870.65725044425017</v>
      </c>
      <c r="N22" s="20">
        <f t="shared" ref="N22:N47" si="10">M22/H22</f>
        <v>17.413145008885003</v>
      </c>
      <c r="O22" s="21">
        <f>J22/$J$48*$J$51</f>
        <v>30.674414012918522</v>
      </c>
      <c r="P22" s="20">
        <f t="shared" ref="P22:P47" si="11">M22-O22</f>
        <v>839.98283643133163</v>
      </c>
    </row>
    <row r="23" spans="1:16" x14ac:dyDescent="0.2">
      <c r="A23" s="17">
        <v>22</v>
      </c>
      <c r="B23" s="38" t="s">
        <v>294</v>
      </c>
      <c r="C23" s="17" t="s">
        <v>280</v>
      </c>
      <c r="D23" s="33" t="str">
        <f t="shared" si="0"/>
        <v>Parts &amp; Components of Passenger Car - Part no. 5JL823189  HINGE REINF.</v>
      </c>
      <c r="E23" s="17">
        <v>87089900</v>
      </c>
      <c r="F23" s="17">
        <v>870899</v>
      </c>
      <c r="G23" s="32" t="s">
        <v>226</v>
      </c>
      <c r="H23" s="17">
        <v>29</v>
      </c>
      <c r="I23" s="17">
        <v>0.72</v>
      </c>
      <c r="J23" s="18">
        <f t="shared" si="2"/>
        <v>20.88</v>
      </c>
      <c r="K23" s="19">
        <v>9.3379999999999992</v>
      </c>
      <c r="L23" s="18">
        <f>J23/$J$48*$J$52</f>
        <v>5.2397175133275056</v>
      </c>
      <c r="M23" s="20">
        <f t="shared" si="9"/>
        <v>26.119717513327505</v>
      </c>
      <c r="N23" s="20">
        <f t="shared" si="10"/>
        <v>0.90067991425267258</v>
      </c>
      <c r="O23" s="21">
        <f>J23/$J$48*$J$51</f>
        <v>0.92023242038755559</v>
      </c>
      <c r="P23" s="20">
        <f t="shared" si="11"/>
        <v>25.199485092939948</v>
      </c>
    </row>
    <row r="24" spans="1:16" x14ac:dyDescent="0.2">
      <c r="A24" s="17">
        <v>23</v>
      </c>
      <c r="B24" s="38" t="s">
        <v>295</v>
      </c>
      <c r="C24" s="17" t="s">
        <v>296</v>
      </c>
      <c r="D24" s="33" t="str">
        <f t="shared" si="0"/>
        <v>Parts &amp; Components of Passenger Car - Part no. 5JL823301  HINGE</v>
      </c>
      <c r="E24" s="17">
        <v>87089900</v>
      </c>
      <c r="F24" s="17">
        <v>870899</v>
      </c>
      <c r="G24" s="32" t="s">
        <v>226</v>
      </c>
      <c r="H24" s="17">
        <v>54</v>
      </c>
      <c r="I24" s="17">
        <v>1.95</v>
      </c>
      <c r="J24" s="18">
        <f t="shared" si="2"/>
        <v>105.3</v>
      </c>
      <c r="K24" s="19">
        <v>36.72</v>
      </c>
      <c r="L24" s="18">
        <f>J24/$J$48*$J$52</f>
        <v>26.424437459453369</v>
      </c>
      <c r="M24" s="20">
        <f t="shared" si="9"/>
        <v>131.72443745945336</v>
      </c>
      <c r="N24" s="20">
        <f t="shared" si="10"/>
        <v>2.4393414344343216</v>
      </c>
      <c r="O24" s="21">
        <f>J24/$J$48*$J$51</f>
        <v>4.6408272924717249</v>
      </c>
      <c r="P24" s="20">
        <f t="shared" si="11"/>
        <v>127.08361016698163</v>
      </c>
    </row>
    <row r="25" spans="1:16" x14ac:dyDescent="0.2">
      <c r="A25" s="17">
        <v>24</v>
      </c>
      <c r="B25" s="38" t="s">
        <v>297</v>
      </c>
      <c r="C25" s="17" t="s">
        <v>296</v>
      </c>
      <c r="D25" s="33" t="str">
        <f t="shared" si="0"/>
        <v>Parts &amp; Components of Passenger Car - Part no. 5JL823302  HINGE</v>
      </c>
      <c r="E25" s="17">
        <v>87089900</v>
      </c>
      <c r="F25" s="17">
        <v>870899</v>
      </c>
      <c r="G25" s="32" t="s">
        <v>226</v>
      </c>
      <c r="H25" s="17">
        <v>36</v>
      </c>
      <c r="I25" s="17">
        <v>1.95</v>
      </c>
      <c r="J25" s="18">
        <f t="shared" si="2"/>
        <v>70.2</v>
      </c>
      <c r="K25" s="19">
        <v>24.48</v>
      </c>
      <c r="L25" s="18">
        <f>J25/$J$48*$J$52</f>
        <v>17.61629163963558</v>
      </c>
      <c r="M25" s="20">
        <f t="shared" si="9"/>
        <v>87.81629163963558</v>
      </c>
      <c r="N25" s="20">
        <f t="shared" si="10"/>
        <v>2.4393414344343216</v>
      </c>
      <c r="O25" s="21">
        <f>J25/$J$48*$J$51</f>
        <v>3.0938848616478163</v>
      </c>
      <c r="P25" s="20">
        <f t="shared" si="11"/>
        <v>84.722406777987757</v>
      </c>
    </row>
    <row r="26" spans="1:16" x14ac:dyDescent="0.2">
      <c r="A26" s="17">
        <v>25</v>
      </c>
      <c r="B26" s="38" t="s">
        <v>298</v>
      </c>
      <c r="C26" s="17" t="s">
        <v>299</v>
      </c>
      <c r="D26" s="33" t="str">
        <f t="shared" si="0"/>
        <v>Parts &amp; Components of Passenger Car - Part no. 5JL831111  DOOR OUTER PANEL</v>
      </c>
      <c r="E26" s="17">
        <v>87082900</v>
      </c>
      <c r="F26" s="17">
        <v>870899</v>
      </c>
      <c r="G26" s="32" t="s">
        <v>226</v>
      </c>
      <c r="H26" s="17">
        <v>26</v>
      </c>
      <c r="I26" s="17">
        <v>6.81</v>
      </c>
      <c r="J26" s="18">
        <f t="shared" si="2"/>
        <v>177.06</v>
      </c>
      <c r="K26" s="19">
        <v>103.922</v>
      </c>
      <c r="L26" s="18">
        <f>J26/$J$48*$J$52</f>
        <v>44.432202246636407</v>
      </c>
      <c r="M26" s="20">
        <f t="shared" si="9"/>
        <v>221.4922022466364</v>
      </c>
      <c r="N26" s="20">
        <f t="shared" si="10"/>
        <v>8.5189308556398622</v>
      </c>
      <c r="O26" s="21">
        <f>J26/$J$48*$J$51</f>
        <v>7.8034651510450477</v>
      </c>
      <c r="P26" s="20">
        <f t="shared" si="11"/>
        <v>213.68873709559134</v>
      </c>
    </row>
    <row r="27" spans="1:16" x14ac:dyDescent="0.2">
      <c r="A27" s="17">
        <v>26</v>
      </c>
      <c r="B27" s="38" t="s">
        <v>300</v>
      </c>
      <c r="C27" s="17" t="s">
        <v>280</v>
      </c>
      <c r="D27" s="33" t="str">
        <f t="shared" si="0"/>
        <v>Parts &amp; Components of Passenger Car - Part no. 5JL831561  HINGE REINF.</v>
      </c>
      <c r="E27" s="17">
        <v>87089900</v>
      </c>
      <c r="F27" s="17">
        <v>870899</v>
      </c>
      <c r="G27" s="32" t="s">
        <v>226</v>
      </c>
      <c r="H27" s="17">
        <v>34</v>
      </c>
      <c r="I27" s="17">
        <v>1.83</v>
      </c>
      <c r="J27" s="18">
        <f t="shared" si="2"/>
        <v>62.22</v>
      </c>
      <c r="K27" s="19">
        <v>33.32</v>
      </c>
      <c r="L27" s="18">
        <f>J27/$J$48*$J$52</f>
        <v>15.613755923335125</v>
      </c>
      <c r="M27" s="20">
        <f t="shared" si="9"/>
        <v>77.833755923335119</v>
      </c>
      <c r="N27" s="20">
        <f t="shared" si="10"/>
        <v>2.2892281153922092</v>
      </c>
      <c r="O27" s="21">
        <f>J27/$J$48*$J$51</f>
        <v>2.7421868389134918</v>
      </c>
      <c r="P27" s="20">
        <f t="shared" si="11"/>
        <v>75.091569084421621</v>
      </c>
    </row>
    <row r="28" spans="1:16" x14ac:dyDescent="0.2">
      <c r="A28" s="17">
        <v>27</v>
      </c>
      <c r="B28" s="38" t="s">
        <v>301</v>
      </c>
      <c r="C28" s="17" t="s">
        <v>280</v>
      </c>
      <c r="D28" s="33" t="str">
        <f t="shared" si="0"/>
        <v>Parts &amp; Components of Passenger Car - Part no. 5JL831563  HINGE REINF.</v>
      </c>
      <c r="E28" s="17">
        <v>87089900</v>
      </c>
      <c r="F28" s="17">
        <v>870899</v>
      </c>
      <c r="G28" s="32" t="s">
        <v>226</v>
      </c>
      <c r="H28" s="17">
        <v>66</v>
      </c>
      <c r="I28" s="17">
        <v>1.02</v>
      </c>
      <c r="J28" s="18">
        <f t="shared" si="2"/>
        <v>67.320000000000007</v>
      </c>
      <c r="K28" s="19">
        <v>26.07</v>
      </c>
      <c r="L28" s="18">
        <f>J28/$J$48*$J$52</f>
        <v>16.893571982624891</v>
      </c>
      <c r="M28" s="20">
        <f t="shared" si="9"/>
        <v>84.213571982624899</v>
      </c>
      <c r="N28" s="20">
        <f t="shared" si="10"/>
        <v>1.2759632118579529</v>
      </c>
      <c r="O28" s="21">
        <f>J28/$J$48*$J$51</f>
        <v>2.9669562519391883</v>
      </c>
      <c r="P28" s="20">
        <f t="shared" si="11"/>
        <v>81.246615730685704</v>
      </c>
    </row>
    <row r="29" spans="1:16" x14ac:dyDescent="0.2">
      <c r="A29" s="17">
        <v>28</v>
      </c>
      <c r="B29" s="38" t="s">
        <v>302</v>
      </c>
      <c r="C29" s="17" t="s">
        <v>280</v>
      </c>
      <c r="D29" s="33" t="str">
        <f t="shared" si="0"/>
        <v>Parts &amp; Components of Passenger Car - Part no. 5JL831564  HINGE REINF.</v>
      </c>
      <c r="E29" s="17">
        <v>87089900</v>
      </c>
      <c r="F29" s="17">
        <v>870899</v>
      </c>
      <c r="G29" s="32" t="s">
        <v>226</v>
      </c>
      <c r="H29" s="17">
        <v>66</v>
      </c>
      <c r="I29" s="17">
        <v>1.02</v>
      </c>
      <c r="J29" s="18">
        <f t="shared" si="2"/>
        <v>67.320000000000007</v>
      </c>
      <c r="K29" s="19">
        <v>26.07</v>
      </c>
      <c r="L29" s="18">
        <f>J29/$J$48*$J$52</f>
        <v>16.893571982624891</v>
      </c>
      <c r="M29" s="20">
        <f t="shared" si="9"/>
        <v>84.213571982624899</v>
      </c>
      <c r="N29" s="20">
        <f t="shared" si="10"/>
        <v>1.2759632118579529</v>
      </c>
      <c r="O29" s="21">
        <f>J29/$J$48*$J$51</f>
        <v>2.9669562519391883</v>
      </c>
      <c r="P29" s="20">
        <f t="shared" si="11"/>
        <v>81.246615730685704</v>
      </c>
    </row>
    <row r="30" spans="1:16" x14ac:dyDescent="0.2">
      <c r="A30" s="17">
        <v>29</v>
      </c>
      <c r="B30" s="38" t="s">
        <v>303</v>
      </c>
      <c r="C30" s="17" t="s">
        <v>304</v>
      </c>
      <c r="D30" s="33" t="str">
        <f t="shared" si="0"/>
        <v>Parts &amp; Components of Passenger Car - Part no. 5JL831601  FRAME PART</v>
      </c>
      <c r="E30" s="17">
        <v>87089900</v>
      </c>
      <c r="F30" s="17">
        <v>870899</v>
      </c>
      <c r="G30" s="32" t="s">
        <v>226</v>
      </c>
      <c r="H30" s="17">
        <v>28</v>
      </c>
      <c r="I30" s="17">
        <v>3.93</v>
      </c>
      <c r="J30" s="18">
        <f t="shared" si="2"/>
        <v>110.04</v>
      </c>
      <c r="K30" s="19">
        <v>39.368000000000002</v>
      </c>
      <c r="L30" s="18">
        <f>J30/$J$48*$J$52</f>
        <v>27.613913561616798</v>
      </c>
      <c r="M30" s="20">
        <f t="shared" si="9"/>
        <v>137.6539135616168</v>
      </c>
      <c r="N30" s="20">
        <f t="shared" si="10"/>
        <v>4.9162111986291714</v>
      </c>
      <c r="O30" s="21">
        <f>J30/$J$48*$J$51</f>
        <v>4.849730629283842</v>
      </c>
      <c r="P30" s="20">
        <f t="shared" si="11"/>
        <v>132.80418293233296</v>
      </c>
    </row>
    <row r="31" spans="1:16" x14ac:dyDescent="0.2">
      <c r="A31" s="17">
        <v>30</v>
      </c>
      <c r="B31" s="38" t="s">
        <v>305</v>
      </c>
      <c r="C31" s="17" t="s">
        <v>304</v>
      </c>
      <c r="D31" s="33" t="str">
        <f t="shared" si="0"/>
        <v>Parts &amp; Components of Passenger Car - Part no. 5JL831602  FRAME PART</v>
      </c>
      <c r="E31" s="17">
        <v>87089900</v>
      </c>
      <c r="F31" s="17">
        <v>870899</v>
      </c>
      <c r="G31" s="32" t="s">
        <v>226</v>
      </c>
      <c r="H31" s="17">
        <v>28</v>
      </c>
      <c r="I31" s="17">
        <v>3.91</v>
      </c>
      <c r="J31" s="18">
        <f t="shared" si="2"/>
        <v>109.48</v>
      </c>
      <c r="K31" s="19">
        <v>39.368000000000002</v>
      </c>
      <c r="L31" s="18">
        <f>J31/$J$48*$J$52</f>
        <v>27.473384739420275</v>
      </c>
      <c r="M31" s="20">
        <f t="shared" si="9"/>
        <v>136.95338473942027</v>
      </c>
      <c r="N31" s="20">
        <f t="shared" si="10"/>
        <v>4.8911923121221523</v>
      </c>
      <c r="O31" s="21">
        <f>J31/$J$48*$J$51</f>
        <v>4.825050066284942</v>
      </c>
      <c r="P31" s="20">
        <f t="shared" si="11"/>
        <v>132.12833467313533</v>
      </c>
    </row>
    <row r="32" spans="1:16" x14ac:dyDescent="0.2">
      <c r="A32" s="17">
        <v>31</v>
      </c>
      <c r="B32" s="38" t="s">
        <v>306</v>
      </c>
      <c r="C32" s="17" t="s">
        <v>277</v>
      </c>
      <c r="D32" s="33" t="str">
        <f t="shared" si="0"/>
        <v>Parts &amp; Components of Passenger Car - Part no. 5JL833123  REINFORCEMENT</v>
      </c>
      <c r="E32" s="17">
        <v>87089900</v>
      </c>
      <c r="F32" s="17">
        <v>870899</v>
      </c>
      <c r="G32" s="32" t="s">
        <v>226</v>
      </c>
      <c r="H32" s="17">
        <v>51</v>
      </c>
      <c r="I32" s="17">
        <v>0.68</v>
      </c>
      <c r="J32" s="18">
        <f t="shared" si="2"/>
        <v>34.68</v>
      </c>
      <c r="K32" s="19">
        <v>15.657</v>
      </c>
      <c r="L32" s="18">
        <f>J32/$J$48*$J$52</f>
        <v>8.7027492031703986</v>
      </c>
      <c r="M32" s="20">
        <f t="shared" si="9"/>
        <v>43.382749203170398</v>
      </c>
      <c r="N32" s="20">
        <f t="shared" si="10"/>
        <v>0.85064214123863524</v>
      </c>
      <c r="O32" s="21">
        <f>J32/$J$48*$J$51</f>
        <v>1.5284320085747334</v>
      </c>
      <c r="P32" s="20">
        <f t="shared" si="11"/>
        <v>41.854317194595666</v>
      </c>
    </row>
    <row r="33" spans="1:16" x14ac:dyDescent="0.2">
      <c r="A33" s="17">
        <v>32</v>
      </c>
      <c r="B33" s="38" t="s">
        <v>307</v>
      </c>
      <c r="C33" s="17" t="s">
        <v>277</v>
      </c>
      <c r="D33" s="33" t="str">
        <f t="shared" si="0"/>
        <v>Parts &amp; Components of Passenger Car - Part no. 5JL833124  REINFORCEMENT</v>
      </c>
      <c r="E33" s="17">
        <v>87089900</v>
      </c>
      <c r="F33" s="17">
        <v>870899</v>
      </c>
      <c r="G33" s="32" t="s">
        <v>226</v>
      </c>
      <c r="H33" s="17">
        <v>51</v>
      </c>
      <c r="I33" s="17">
        <v>0.68</v>
      </c>
      <c r="J33" s="18">
        <f t="shared" si="2"/>
        <v>34.68</v>
      </c>
      <c r="K33" s="19">
        <v>15.657</v>
      </c>
      <c r="L33" s="18">
        <f>J33/$J$48*$J$52</f>
        <v>8.7027492031703986</v>
      </c>
      <c r="M33" s="20">
        <f t="shared" si="9"/>
        <v>43.382749203170398</v>
      </c>
      <c r="N33" s="20">
        <f t="shared" si="10"/>
        <v>0.85064214123863524</v>
      </c>
      <c r="O33" s="21">
        <f>J33/$J$48*$J$51</f>
        <v>1.5284320085747334</v>
      </c>
      <c r="P33" s="20">
        <f t="shared" si="11"/>
        <v>41.854317194595666</v>
      </c>
    </row>
    <row r="34" spans="1:16" x14ac:dyDescent="0.2">
      <c r="A34" s="17">
        <v>33</v>
      </c>
      <c r="B34" s="38" t="s">
        <v>308</v>
      </c>
      <c r="C34" s="17" t="s">
        <v>309</v>
      </c>
      <c r="D34" s="33" t="str">
        <f t="shared" si="0"/>
        <v>Parts &amp; Components of Passenger Car - Part no. 5JL833311  DOOR INNER PANEL</v>
      </c>
      <c r="E34" s="17">
        <v>87082900</v>
      </c>
      <c r="F34" s="17">
        <v>870899</v>
      </c>
      <c r="G34" s="32" t="s">
        <v>226</v>
      </c>
      <c r="H34" s="17">
        <v>80</v>
      </c>
      <c r="I34" s="17">
        <v>10.98</v>
      </c>
      <c r="J34" s="18">
        <f t="shared" si="2"/>
        <v>878.40000000000009</v>
      </c>
      <c r="K34" s="19">
        <v>372.32</v>
      </c>
      <c r="L34" s="18">
        <f>J34/$J$48*$J$52</f>
        <v>220.42949538826062</v>
      </c>
      <c r="M34" s="20">
        <f t="shared" si="9"/>
        <v>1098.8294953882607</v>
      </c>
      <c r="N34" s="20">
        <f t="shared" si="10"/>
        <v>13.735368692353259</v>
      </c>
      <c r="O34" s="21">
        <f>J34/$J$48*$J$51</f>
        <v>38.713225961131656</v>
      </c>
      <c r="P34" s="20">
        <f t="shared" si="11"/>
        <v>1060.1162694271291</v>
      </c>
    </row>
    <row r="35" spans="1:16" x14ac:dyDescent="0.2">
      <c r="A35" s="17">
        <v>34</v>
      </c>
      <c r="B35" s="38" t="s">
        <v>310</v>
      </c>
      <c r="C35" s="17" t="s">
        <v>280</v>
      </c>
      <c r="D35" s="33" t="str">
        <f t="shared" si="0"/>
        <v>Parts &amp; Components of Passenger Car - Part no. 5JL833563  HINGE REINF.</v>
      </c>
      <c r="E35" s="17">
        <v>87089900</v>
      </c>
      <c r="F35" s="17">
        <v>870899</v>
      </c>
      <c r="G35" s="32" t="s">
        <v>226</v>
      </c>
      <c r="H35" s="17">
        <v>102</v>
      </c>
      <c r="I35" s="17">
        <v>0.88</v>
      </c>
      <c r="J35" s="18">
        <f t="shared" si="2"/>
        <v>89.76</v>
      </c>
      <c r="K35" s="19">
        <v>36.21</v>
      </c>
      <c r="L35" s="18">
        <f>J35/$J$48*$J$52</f>
        <v>22.524762643499855</v>
      </c>
      <c r="M35" s="20">
        <f t="shared" si="9"/>
        <v>112.28476264349986</v>
      </c>
      <c r="N35" s="20">
        <f t="shared" si="10"/>
        <v>1.1008310063088222</v>
      </c>
      <c r="O35" s="21">
        <f>J35/$J$48*$J$51</f>
        <v>3.9559416692522507</v>
      </c>
      <c r="P35" s="20">
        <f t="shared" si="11"/>
        <v>108.32882097424761</v>
      </c>
    </row>
    <row r="36" spans="1:16" x14ac:dyDescent="0.2">
      <c r="A36" s="17">
        <v>35</v>
      </c>
      <c r="B36" s="38" t="s">
        <v>311</v>
      </c>
      <c r="C36" s="17" t="s">
        <v>280</v>
      </c>
      <c r="D36" s="33" t="str">
        <f t="shared" si="0"/>
        <v>Parts &amp; Components of Passenger Car - Part no. 5JL833564  HINGE REINF.</v>
      </c>
      <c r="E36" s="17">
        <v>87089900</v>
      </c>
      <c r="F36" s="17">
        <v>870899</v>
      </c>
      <c r="G36" s="32" t="s">
        <v>226</v>
      </c>
      <c r="H36" s="17">
        <v>102</v>
      </c>
      <c r="I36" s="17">
        <v>0.88</v>
      </c>
      <c r="J36" s="18">
        <f t="shared" si="2"/>
        <v>89.76</v>
      </c>
      <c r="K36" s="19">
        <v>36.21</v>
      </c>
      <c r="L36" s="18">
        <f>J36/$J$48*$J$52</f>
        <v>22.524762643499855</v>
      </c>
      <c r="M36" s="20">
        <f t="shared" si="9"/>
        <v>112.28476264349986</v>
      </c>
      <c r="N36" s="20">
        <f t="shared" si="10"/>
        <v>1.1008310063088222</v>
      </c>
      <c r="O36" s="21">
        <f>J36/$J$48*$J$51</f>
        <v>3.9559416692522507</v>
      </c>
      <c r="P36" s="20">
        <f t="shared" si="11"/>
        <v>108.32882097424761</v>
      </c>
    </row>
    <row r="37" spans="1:16" x14ac:dyDescent="0.2">
      <c r="A37" s="17">
        <v>36</v>
      </c>
      <c r="B37" s="38" t="s">
        <v>312</v>
      </c>
      <c r="C37" s="17" t="s">
        <v>120</v>
      </c>
      <c r="D37" s="33" t="str">
        <f t="shared" si="0"/>
        <v>Parts &amp; Components of Passenger Car - Part no. 5JN857509  AIR DEFLECTOR</v>
      </c>
      <c r="E37" s="17">
        <v>87089900</v>
      </c>
      <c r="F37" s="17">
        <v>870899</v>
      </c>
      <c r="G37" s="32" t="s">
        <v>226</v>
      </c>
      <c r="H37" s="17">
        <v>75</v>
      </c>
      <c r="I37" s="17">
        <v>1.28</v>
      </c>
      <c r="J37" s="18">
        <f t="shared" si="2"/>
        <v>96</v>
      </c>
      <c r="K37" s="19">
        <v>22.725000000000001</v>
      </c>
      <c r="L37" s="18">
        <f>J37/$J$48*$J$52</f>
        <v>24.090655233689681</v>
      </c>
      <c r="M37" s="20">
        <f t="shared" si="9"/>
        <v>120.09065523368969</v>
      </c>
      <c r="N37" s="20">
        <f t="shared" si="10"/>
        <v>1.6012087364491958</v>
      </c>
      <c r="O37" s="21">
        <f>J37/$J$48*$J$51</f>
        <v>4.2309536569542789</v>
      </c>
      <c r="P37" s="20">
        <f t="shared" si="11"/>
        <v>115.8597015767354</v>
      </c>
    </row>
    <row r="38" spans="1:16" x14ac:dyDescent="0.2">
      <c r="A38" s="17">
        <v>37</v>
      </c>
      <c r="B38" s="38" t="s">
        <v>313</v>
      </c>
      <c r="C38" s="17" t="s">
        <v>60</v>
      </c>
      <c r="D38" s="33" t="str">
        <f t="shared" si="0"/>
        <v>Parts &amp; Components of Passenger Car - Part no. 5JN863934  DAMPING</v>
      </c>
      <c r="E38" s="17">
        <v>87089900</v>
      </c>
      <c r="F38" s="17">
        <v>870899</v>
      </c>
      <c r="G38" s="32" t="s">
        <v>226</v>
      </c>
      <c r="H38" s="17">
        <v>8</v>
      </c>
      <c r="I38" s="17">
        <v>14.21</v>
      </c>
      <c r="J38" s="18">
        <f t="shared" si="2"/>
        <v>113.68</v>
      </c>
      <c r="K38" s="19">
        <v>21.552</v>
      </c>
      <c r="L38" s="18">
        <f>J38/$J$48*$J$52</f>
        <v>28.527350905894199</v>
      </c>
      <c r="M38" s="20">
        <f t="shared" si="9"/>
        <v>142.2073509058942</v>
      </c>
      <c r="N38" s="20">
        <f t="shared" si="10"/>
        <v>17.775918863236775</v>
      </c>
      <c r="O38" s="21">
        <f>J38/$J$48*$J$51</f>
        <v>5.0101542887766914</v>
      </c>
      <c r="P38" s="20">
        <f t="shared" si="11"/>
        <v>137.1971966171175</v>
      </c>
    </row>
    <row r="39" spans="1:16" x14ac:dyDescent="0.2">
      <c r="A39" s="17">
        <v>38</v>
      </c>
      <c r="B39" s="38" t="s">
        <v>314</v>
      </c>
      <c r="C39" s="17" t="s">
        <v>315</v>
      </c>
      <c r="D39" s="33" t="str">
        <f t="shared" si="0"/>
        <v>Parts &amp; Components of Passenger Car - Part no. 6R0819465C  ONE-WAY FLAP-TYPE</v>
      </c>
      <c r="E39" s="17">
        <v>87089900</v>
      </c>
      <c r="F39" s="17">
        <v>870899</v>
      </c>
      <c r="G39" s="32" t="s">
        <v>226</v>
      </c>
      <c r="H39" s="17">
        <v>126</v>
      </c>
      <c r="I39" s="17">
        <v>0.5</v>
      </c>
      <c r="J39" s="18">
        <f t="shared" si="2"/>
        <v>63</v>
      </c>
      <c r="K39" s="19">
        <v>7.1820000000000004</v>
      </c>
      <c r="L39" s="18">
        <f>J39/$J$48*$J$52</f>
        <v>15.809492497108854</v>
      </c>
      <c r="M39" s="20">
        <f t="shared" si="9"/>
        <v>78.809492497108849</v>
      </c>
      <c r="N39" s="20">
        <f t="shared" si="10"/>
        <v>0.62547216267546701</v>
      </c>
      <c r="O39" s="21">
        <f>J39/$J$48*$J$51</f>
        <v>2.7765633373762455</v>
      </c>
      <c r="P39" s="20">
        <f t="shared" si="11"/>
        <v>76.032929159732603</v>
      </c>
    </row>
    <row r="40" spans="1:16" x14ac:dyDescent="0.2">
      <c r="A40" s="17">
        <v>39</v>
      </c>
      <c r="B40" s="38" t="s">
        <v>316</v>
      </c>
      <c r="C40" s="17" t="s">
        <v>317</v>
      </c>
      <c r="D40" s="33" t="str">
        <f t="shared" si="0"/>
        <v>Parts &amp; Components of Passenger Car - Part no. 5JL809702  INSERT</v>
      </c>
      <c r="E40" s="17">
        <v>87089900</v>
      </c>
      <c r="F40" s="17">
        <v>870899</v>
      </c>
      <c r="G40" s="32" t="s">
        <v>226</v>
      </c>
      <c r="H40" s="17">
        <v>63</v>
      </c>
      <c r="I40" s="17">
        <v>2.73</v>
      </c>
      <c r="J40" s="18">
        <f t="shared" si="2"/>
        <v>171.99</v>
      </c>
      <c r="K40" s="19">
        <v>19.719000000000001</v>
      </c>
      <c r="L40" s="18">
        <f>J40/$J$48*$J$52</f>
        <v>43.159914517107175</v>
      </c>
      <c r="M40" s="20">
        <f t="shared" si="9"/>
        <v>215.14991451710719</v>
      </c>
      <c r="N40" s="20">
        <f t="shared" si="10"/>
        <v>3.4150780082080505</v>
      </c>
      <c r="O40" s="21">
        <f>J40/$J$48*$J$51</f>
        <v>7.5800179110371504</v>
      </c>
      <c r="P40" s="20">
        <f t="shared" si="11"/>
        <v>207.56989660607005</v>
      </c>
    </row>
    <row r="41" spans="1:16" x14ac:dyDescent="0.2">
      <c r="A41" s="17">
        <v>40</v>
      </c>
      <c r="B41" s="38" t="s">
        <v>318</v>
      </c>
      <c r="C41" s="17" t="s">
        <v>319</v>
      </c>
      <c r="D41" s="33" t="str">
        <f t="shared" si="0"/>
        <v>Parts &amp; Components of Passenger Car - Part no. 5JL845011C  WINDSHIELD</v>
      </c>
      <c r="E41" s="17">
        <v>87082200</v>
      </c>
      <c r="F41" s="17">
        <v>870899</v>
      </c>
      <c r="G41" s="32" t="s">
        <v>226</v>
      </c>
      <c r="H41" s="17">
        <v>25</v>
      </c>
      <c r="I41" s="17">
        <v>33.24</v>
      </c>
      <c r="J41" s="18">
        <f t="shared" si="2"/>
        <v>831</v>
      </c>
      <c r="K41" s="19">
        <v>333.47500000000002</v>
      </c>
      <c r="L41" s="18">
        <f>J41/$J$48*$J$52</f>
        <v>208.53473436662634</v>
      </c>
      <c r="M41" s="20">
        <f t="shared" si="9"/>
        <v>1039.5347343666263</v>
      </c>
      <c r="N41" s="20">
        <f t="shared" si="10"/>
        <v>41.581389374665051</v>
      </c>
      <c r="O41" s="21">
        <f>J41/$J$48*$J$51</f>
        <v>36.624192593010477</v>
      </c>
      <c r="P41" s="20">
        <f t="shared" si="11"/>
        <v>1002.9105417736158</v>
      </c>
    </row>
    <row r="42" spans="1:16" x14ac:dyDescent="0.2">
      <c r="A42" s="17">
        <v>41</v>
      </c>
      <c r="B42" s="38" t="s">
        <v>320</v>
      </c>
      <c r="C42" s="17" t="s">
        <v>321</v>
      </c>
      <c r="D42" s="33" t="str">
        <f t="shared" si="0"/>
        <v>Parts &amp; Components of Passenger Car - Part no. 5QP803501E  SIDE MEMBER,WHEEL</v>
      </c>
      <c r="E42" s="17">
        <v>87082900</v>
      </c>
      <c r="F42" s="17">
        <v>870899</v>
      </c>
      <c r="G42" s="32" t="s">
        <v>226</v>
      </c>
      <c r="H42" s="17">
        <v>16</v>
      </c>
      <c r="I42" s="17">
        <v>25.31</v>
      </c>
      <c r="J42" s="18">
        <f t="shared" si="2"/>
        <v>404.96</v>
      </c>
      <c r="K42" s="19">
        <v>162.16</v>
      </c>
      <c r="L42" s="18">
        <f>J42/$J$48*$J$52</f>
        <v>101.62241399411431</v>
      </c>
      <c r="M42" s="20">
        <f t="shared" si="9"/>
        <v>506.58241399411429</v>
      </c>
      <c r="N42" s="20">
        <f t="shared" si="10"/>
        <v>31.661400874632143</v>
      </c>
      <c r="O42" s="21">
        <f>J42/$J$48*$J$51</f>
        <v>17.847572842918797</v>
      </c>
      <c r="P42" s="20">
        <f t="shared" si="11"/>
        <v>488.7348411511955</v>
      </c>
    </row>
    <row r="43" spans="1:16" x14ac:dyDescent="0.2">
      <c r="A43" s="17">
        <v>42</v>
      </c>
      <c r="B43" s="38" t="s">
        <v>121</v>
      </c>
      <c r="C43" s="17" t="s">
        <v>322</v>
      </c>
      <c r="D43" s="33" t="str">
        <f t="shared" si="0"/>
        <v>Parts &amp; Components of Passenger Car - Part no. 6JM419091A VKH  STEERING WHEEL</v>
      </c>
      <c r="E43" s="17">
        <v>87089400</v>
      </c>
      <c r="F43" s="17">
        <v>870899</v>
      </c>
      <c r="G43" s="32" t="s">
        <v>226</v>
      </c>
      <c r="H43" s="17">
        <v>66</v>
      </c>
      <c r="I43" s="17">
        <v>73.930000000000007</v>
      </c>
      <c r="J43" s="18">
        <f t="shared" si="2"/>
        <v>4879.38</v>
      </c>
      <c r="K43" s="19">
        <v>99</v>
      </c>
      <c r="L43" s="18">
        <f>J43/$J$48*$J$52</f>
        <v>1224.4527222308413</v>
      </c>
      <c r="M43" s="20">
        <f t="shared" si="9"/>
        <v>6103.8327222308417</v>
      </c>
      <c r="N43" s="20">
        <f t="shared" si="10"/>
        <v>92.482313973194564</v>
      </c>
      <c r="O43" s="21">
        <f>J43/$J$48*$J$51</f>
        <v>215.04615265280802</v>
      </c>
      <c r="P43" s="20">
        <f t="shared" si="11"/>
        <v>5888.7865695780338</v>
      </c>
    </row>
    <row r="44" spans="1:16" x14ac:dyDescent="0.2">
      <c r="A44" s="17">
        <v>43</v>
      </c>
      <c r="B44" s="38" t="s">
        <v>323</v>
      </c>
      <c r="C44" s="17" t="s">
        <v>324</v>
      </c>
      <c r="D44" s="33" t="str">
        <f t="shared" si="0"/>
        <v>Parts &amp; Components of Passenger Car - Part no. 5JL253181C  FRONT MUFFLER/REAR</v>
      </c>
      <c r="E44" s="17">
        <v>87089200</v>
      </c>
      <c r="F44" s="17">
        <v>870899</v>
      </c>
      <c r="G44" s="32" t="s">
        <v>226</v>
      </c>
      <c r="H44" s="17">
        <v>12</v>
      </c>
      <c r="I44" s="17">
        <v>39.950000000000003</v>
      </c>
      <c r="J44" s="18">
        <f t="shared" si="2"/>
        <v>479.40000000000003</v>
      </c>
      <c r="K44" s="19">
        <v>120.6</v>
      </c>
      <c r="L44" s="18">
        <f>J44/$J$48*$J$52</f>
        <v>120.30270957323786</v>
      </c>
      <c r="M44" s="20">
        <f t="shared" si="9"/>
        <v>599.70270957323794</v>
      </c>
      <c r="N44" s="20">
        <f t="shared" si="10"/>
        <v>49.975225797769831</v>
      </c>
      <c r="O44" s="21">
        <f>J44/$J$48*$J$51</f>
        <v>21.128324824415429</v>
      </c>
      <c r="P44" s="20">
        <f t="shared" si="11"/>
        <v>578.57438474882247</v>
      </c>
    </row>
    <row r="45" spans="1:16" x14ac:dyDescent="0.2">
      <c r="A45" s="17">
        <v>44</v>
      </c>
      <c r="B45" s="38" t="s">
        <v>262</v>
      </c>
      <c r="C45" s="17" t="s">
        <v>257</v>
      </c>
      <c r="D45" s="33" t="str">
        <f t="shared" si="0"/>
        <v>Parts &amp; Components of Passenger Car - Part no. 5JL881005B  SEATS</v>
      </c>
      <c r="E45" s="17">
        <v>94012000</v>
      </c>
      <c r="F45" s="17">
        <v>9401</v>
      </c>
      <c r="G45" s="32" t="s">
        <v>226</v>
      </c>
      <c r="H45" s="17">
        <v>6</v>
      </c>
      <c r="I45" s="17">
        <v>291.67</v>
      </c>
      <c r="J45" s="18">
        <f t="shared" si="2"/>
        <v>1750.02</v>
      </c>
      <c r="K45" s="19">
        <v>124.86</v>
      </c>
      <c r="L45" s="18">
        <f>J45/$J$48*$J$52</f>
        <v>439.15758825064182</v>
      </c>
      <c r="M45" s="20">
        <f t="shared" si="9"/>
        <v>2189.1775882506417</v>
      </c>
      <c r="N45" s="20">
        <f t="shared" si="10"/>
        <v>364.86293137510694</v>
      </c>
      <c r="O45" s="21">
        <f>J45/$J$48*$J$51</f>
        <v>77.127640820240899</v>
      </c>
      <c r="P45" s="20">
        <f t="shared" si="11"/>
        <v>2112.0499474304011</v>
      </c>
    </row>
    <row r="46" spans="1:16" x14ac:dyDescent="0.2">
      <c r="A46" s="17">
        <v>45</v>
      </c>
      <c r="B46" s="38" t="s">
        <v>325</v>
      </c>
      <c r="C46" s="17" t="s">
        <v>326</v>
      </c>
      <c r="D46" s="33" t="str">
        <f t="shared" si="0"/>
        <v>Parts &amp; Components of Passenger Car - Part no. 5JL867914  5AP  WELT</v>
      </c>
      <c r="E46" s="17">
        <v>40161000</v>
      </c>
      <c r="F46" s="17">
        <v>401699</v>
      </c>
      <c r="G46" s="32" t="s">
        <v>226</v>
      </c>
      <c r="H46" s="17">
        <v>75</v>
      </c>
      <c r="I46" s="17">
        <v>4.25</v>
      </c>
      <c r="J46" s="18">
        <f t="shared" si="2"/>
        <v>318.75</v>
      </c>
      <c r="K46" s="19">
        <v>74.849999999999994</v>
      </c>
      <c r="L46" s="18">
        <f>J46/$J$48*$J$52</f>
        <v>79.988503705610285</v>
      </c>
      <c r="M46" s="20">
        <f t="shared" si="9"/>
        <v>398.7385037056103</v>
      </c>
      <c r="N46" s="20">
        <f t="shared" si="10"/>
        <v>5.316513382741471</v>
      </c>
      <c r="O46" s="21">
        <f>J46/$J$48*$J$51</f>
        <v>14.048088314106005</v>
      </c>
      <c r="P46" s="20">
        <f t="shared" si="11"/>
        <v>384.6904153915043</v>
      </c>
    </row>
    <row r="47" spans="1:16" x14ac:dyDescent="0.2">
      <c r="A47" s="17">
        <v>46</v>
      </c>
      <c r="B47" s="38" t="s">
        <v>260</v>
      </c>
      <c r="C47" s="17" t="s">
        <v>261</v>
      </c>
      <c r="D47" s="33" t="str">
        <f t="shared" si="0"/>
        <v>Parts &amp; Components of Passenger Car - Part no. 5JN863951  ENGINE MOUNT</v>
      </c>
      <c r="E47" s="17">
        <v>87089900</v>
      </c>
      <c r="F47" s="17">
        <v>870899</v>
      </c>
      <c r="G47" s="32" t="s">
        <v>226</v>
      </c>
      <c r="H47" s="17">
        <v>21</v>
      </c>
      <c r="I47" s="17">
        <v>2.2200000000000002</v>
      </c>
      <c r="J47" s="18">
        <f t="shared" si="2"/>
        <v>46.620000000000005</v>
      </c>
      <c r="K47" s="19">
        <v>5.67</v>
      </c>
      <c r="L47" s="18">
        <f>J47/$J$48*$J$52</f>
        <v>11.699024447860554</v>
      </c>
      <c r="M47" s="20">
        <f t="shared" si="9"/>
        <v>58.319024447860556</v>
      </c>
      <c r="N47" s="20">
        <f t="shared" si="10"/>
        <v>2.7770964022790743</v>
      </c>
      <c r="O47" s="21">
        <f>J47/$J$48*$J$51</f>
        <v>2.0546568696584218</v>
      </c>
      <c r="P47" s="20">
        <f t="shared" si="11"/>
        <v>56.264367578202133</v>
      </c>
    </row>
    <row r="48" spans="1:16" x14ac:dyDescent="0.2">
      <c r="B48" s="16" t="s">
        <v>233</v>
      </c>
      <c r="C48" s="16" t="s">
        <v>251</v>
      </c>
      <c r="D48" s="34"/>
      <c r="G48" s="31"/>
      <c r="H48" s="16">
        <f>SUM(H2:H47)</f>
        <v>2485</v>
      </c>
      <c r="I48" s="16">
        <f>SUM(I2:I47)</f>
        <v>707.13</v>
      </c>
      <c r="J48" s="22">
        <f>SUM(J2:J47)</f>
        <v>17017.439999999995</v>
      </c>
      <c r="K48" s="36">
        <f>SUM(K2:K47)</f>
        <v>3841.7390000000009</v>
      </c>
      <c r="L48" s="22">
        <f>SUM(L2:L47)</f>
        <v>4270.4300000000012</v>
      </c>
      <c r="M48" s="22">
        <f>SUM(M2:M47)</f>
        <v>21287.870000000003</v>
      </c>
      <c r="N48" s="16">
        <f>SUM(N2:N47)</f>
        <v>884.58026078540593</v>
      </c>
      <c r="O48" s="16">
        <f>SUM(O2:O47)</f>
        <v>750.00000000000023</v>
      </c>
      <c r="P48" s="16">
        <f>SUM(P2:P47)</f>
        <v>20537.87</v>
      </c>
    </row>
    <row r="49" spans="2:12" x14ac:dyDescent="0.2">
      <c r="B49" s="16" t="s">
        <v>234</v>
      </c>
      <c r="C49" s="16" t="s">
        <v>8</v>
      </c>
      <c r="D49" s="34"/>
      <c r="G49" s="31"/>
      <c r="J49" s="26">
        <v>3120.43</v>
      </c>
      <c r="K49" s="24"/>
    </row>
    <row r="50" spans="2:12" x14ac:dyDescent="0.2">
      <c r="B50" s="16" t="s">
        <v>235</v>
      </c>
      <c r="C50" s="16" t="s">
        <v>9</v>
      </c>
      <c r="D50" s="34"/>
      <c r="G50" s="31"/>
      <c r="J50" s="25">
        <v>400</v>
      </c>
      <c r="K50" s="28"/>
    </row>
    <row r="51" spans="2:12" x14ac:dyDescent="0.2">
      <c r="B51" s="16" t="s">
        <v>236</v>
      </c>
      <c r="C51" s="16" t="s">
        <v>254</v>
      </c>
      <c r="D51" s="34"/>
      <c r="G51" s="31"/>
      <c r="J51" s="25">
        <v>750</v>
      </c>
      <c r="K51" s="28"/>
    </row>
    <row r="52" spans="2:12" x14ac:dyDescent="0.2">
      <c r="B52" s="16" t="s">
        <v>237</v>
      </c>
      <c r="C52" s="16" t="s">
        <v>252</v>
      </c>
      <c r="D52" s="34"/>
      <c r="G52" s="31"/>
      <c r="J52" s="25">
        <f>SUM(J49:J51)</f>
        <v>4270.43</v>
      </c>
      <c r="K52" s="35"/>
    </row>
    <row r="53" spans="2:12" x14ac:dyDescent="0.2">
      <c r="B53" s="16" t="s">
        <v>238</v>
      </c>
      <c r="C53" s="16" t="s">
        <v>253</v>
      </c>
      <c r="D53" s="34"/>
      <c r="G53" s="31"/>
      <c r="I53" s="22"/>
      <c r="J53" s="29">
        <f>J48+J52</f>
        <v>21287.869999999995</v>
      </c>
      <c r="K53" s="22"/>
    </row>
    <row r="54" spans="2:12" x14ac:dyDescent="0.2">
      <c r="G54" s="31"/>
      <c r="I54" s="22"/>
      <c r="L54" s="22"/>
    </row>
    <row r="55" spans="2:12" x14ac:dyDescent="0.2">
      <c r="G55" s="31"/>
      <c r="J55" s="30">
        <f>J53*104.6</f>
        <v>2226711.2019999996</v>
      </c>
      <c r="K55" s="27"/>
    </row>
    <row r="56" spans="2:12" x14ac:dyDescent="0.2">
      <c r="G56" s="31"/>
    </row>
    <row r="57" spans="2:12" x14ac:dyDescent="0.2">
      <c r="G57" s="31"/>
    </row>
    <row r="60" spans="2:12" x14ac:dyDescent="0.2">
      <c r="J60" s="22"/>
    </row>
    <row r="63" spans="2:12" ht="15" x14ac:dyDescent="0.25">
      <c r="E63"/>
    </row>
    <row r="64" spans="2:12" ht="15" x14ac:dyDescent="0.25">
      <c r="E64"/>
    </row>
    <row r="65" spans="5:8" ht="15" x14ac:dyDescent="0.25">
      <c r="E65"/>
    </row>
    <row r="66" spans="5:8" ht="15" x14ac:dyDescent="0.25">
      <c r="E66"/>
      <c r="H66" s="37"/>
    </row>
    <row r="67" spans="5:8" ht="15" x14ac:dyDescent="0.25">
      <c r="E67"/>
    </row>
    <row r="68" spans="5:8" ht="15" x14ac:dyDescent="0.25">
      <c r="E68"/>
    </row>
    <row r="69" spans="5:8" ht="15" x14ac:dyDescent="0.25">
      <c r="E69"/>
    </row>
    <row r="70" spans="5:8" ht="15" x14ac:dyDescent="0.25">
      <c r="E70"/>
    </row>
    <row r="71" spans="5:8" ht="15" x14ac:dyDescent="0.25">
      <c r="E71"/>
    </row>
    <row r="72" spans="5:8" ht="15" x14ac:dyDescent="0.25">
      <c r="E72"/>
    </row>
    <row r="73" spans="5:8" ht="15" x14ac:dyDescent="0.25">
      <c r="E73"/>
    </row>
    <row r="74" spans="5:8" ht="15" x14ac:dyDescent="0.25">
      <c r="E74"/>
    </row>
    <row r="75" spans="5:8" ht="15" x14ac:dyDescent="0.25">
      <c r="E75"/>
    </row>
    <row r="76" spans="5:8" ht="15" x14ac:dyDescent="0.25">
      <c r="E76"/>
    </row>
    <row r="77" spans="5:8" ht="15" x14ac:dyDescent="0.25">
      <c r="E77"/>
    </row>
    <row r="78" spans="5:8" ht="15" x14ac:dyDescent="0.25">
      <c r="E78"/>
    </row>
    <row r="79" spans="5:8" ht="15" x14ac:dyDescent="0.25">
      <c r="E79"/>
    </row>
    <row r="80" spans="5:8" ht="15" x14ac:dyDescent="0.25">
      <c r="E80"/>
    </row>
    <row r="81" spans="5:5" ht="15" x14ac:dyDescent="0.25">
      <c r="E81"/>
    </row>
    <row r="82" spans="5:5" ht="15" x14ac:dyDescent="0.25">
      <c r="E82"/>
    </row>
    <row r="83" spans="5:5" ht="15" x14ac:dyDescent="0.25">
      <c r="E83"/>
    </row>
    <row r="84" spans="5:5" ht="15" x14ac:dyDescent="0.25">
      <c r="E84"/>
    </row>
    <row r="85" spans="5:5" ht="15" x14ac:dyDescent="0.25">
      <c r="E85"/>
    </row>
    <row r="86" spans="5:5" ht="15" x14ac:dyDescent="0.25">
      <c r="E86"/>
    </row>
    <row r="87" spans="5:5" ht="15" x14ac:dyDescent="0.25">
      <c r="E87"/>
    </row>
    <row r="88" spans="5:5" ht="15" x14ac:dyDescent="0.25">
      <c r="E88"/>
    </row>
    <row r="89" spans="5:5" ht="15" x14ac:dyDescent="0.25">
      <c r="E89"/>
    </row>
    <row r="90" spans="5:5" ht="15" x14ac:dyDescent="0.25">
      <c r="E90"/>
    </row>
    <row r="91" spans="5:5" ht="15" x14ac:dyDescent="0.25">
      <c r="E91"/>
    </row>
    <row r="92" spans="5:5" ht="15" x14ac:dyDescent="0.25">
      <c r="E92"/>
    </row>
    <row r="93" spans="5:5" ht="15" x14ac:dyDescent="0.25">
      <c r="E93"/>
    </row>
    <row r="94" spans="5:5" ht="15" x14ac:dyDescent="0.25">
      <c r="E94"/>
    </row>
    <row r="95" spans="5:5" ht="15" x14ac:dyDescent="0.25">
      <c r="E95"/>
    </row>
    <row r="96" spans="5:5" ht="15" x14ac:dyDescent="0.25">
      <c r="E96"/>
    </row>
    <row r="97" spans="5:5" ht="15" x14ac:dyDescent="0.25">
      <c r="E97"/>
    </row>
    <row r="98" spans="5:5" ht="15" x14ac:dyDescent="0.25">
      <c r="E98"/>
    </row>
    <row r="99" spans="5:5" ht="15" x14ac:dyDescent="0.25">
      <c r="E99"/>
    </row>
    <row r="100" spans="5:5" ht="15" x14ac:dyDescent="0.25">
      <c r="E100"/>
    </row>
    <row r="101" spans="5:5" ht="15" x14ac:dyDescent="0.25">
      <c r="E101"/>
    </row>
    <row r="102" spans="5:5" ht="15" x14ac:dyDescent="0.25">
      <c r="E102"/>
    </row>
    <row r="103" spans="5:5" ht="15" x14ac:dyDescent="0.25">
      <c r="E103"/>
    </row>
    <row r="104" spans="5:5" ht="15" x14ac:dyDescent="0.25">
      <c r="E104"/>
    </row>
    <row r="105" spans="5:5" ht="15" x14ac:dyDescent="0.25">
      <c r="E105"/>
    </row>
    <row r="106" spans="5:5" ht="15" x14ac:dyDescent="0.25">
      <c r="E106"/>
    </row>
    <row r="107" spans="5:5" ht="15" x14ac:dyDescent="0.25">
      <c r="E107"/>
    </row>
    <row r="108" spans="5:5" ht="15" x14ac:dyDescent="0.25">
      <c r="E108"/>
    </row>
    <row r="109" spans="5:5" ht="15" x14ac:dyDescent="0.25">
      <c r="E109"/>
    </row>
    <row r="110" spans="5:5" ht="15" x14ac:dyDescent="0.25">
      <c r="E110"/>
    </row>
    <row r="111" spans="5:5" ht="15" x14ac:dyDescent="0.25">
      <c r="E111"/>
    </row>
    <row r="112" spans="5:5" ht="15" x14ac:dyDescent="0.25">
      <c r="E112"/>
    </row>
    <row r="113" spans="5:5" ht="15" x14ac:dyDescent="0.25">
      <c r="E113"/>
    </row>
    <row r="114" spans="5:5" ht="15" x14ac:dyDescent="0.25">
      <c r="E114"/>
    </row>
    <row r="115" spans="5:5" ht="15" x14ac:dyDescent="0.25">
      <c r="E115"/>
    </row>
    <row r="116" spans="5:5" ht="15" x14ac:dyDescent="0.25">
      <c r="E116"/>
    </row>
    <row r="117" spans="5:5" ht="15" x14ac:dyDescent="0.25">
      <c r="E117"/>
    </row>
    <row r="118" spans="5:5" ht="15" x14ac:dyDescent="0.25">
      <c r="E118"/>
    </row>
    <row r="119" spans="5:5" ht="15" x14ac:dyDescent="0.25">
      <c r="E119"/>
    </row>
    <row r="120" spans="5:5" ht="15" x14ac:dyDescent="0.25">
      <c r="E120"/>
    </row>
    <row r="121" spans="5:5" ht="15" x14ac:dyDescent="0.25">
      <c r="E121"/>
    </row>
    <row r="122" spans="5:5" ht="15" x14ac:dyDescent="0.25">
      <c r="E122"/>
    </row>
    <row r="123" spans="5:5" ht="15" x14ac:dyDescent="0.25">
      <c r="E123"/>
    </row>
    <row r="124" spans="5:5" ht="15" x14ac:dyDescent="0.25">
      <c r="E124"/>
    </row>
    <row r="125" spans="5:5" ht="15" x14ac:dyDescent="0.25">
      <c r="E125"/>
    </row>
    <row r="126" spans="5:5" ht="15" x14ac:dyDescent="0.25">
      <c r="E126"/>
    </row>
    <row r="127" spans="5:5" ht="15" x14ac:dyDescent="0.25">
      <c r="E127"/>
    </row>
    <row r="128" spans="5:5" ht="15" x14ac:dyDescent="0.25">
      <c r="E128"/>
    </row>
    <row r="129" spans="5:5" ht="15" x14ac:dyDescent="0.25">
      <c r="E129"/>
    </row>
    <row r="130" spans="5:5" ht="15" x14ac:dyDescent="0.25">
      <c r="E130"/>
    </row>
    <row r="131" spans="5:5" ht="15" x14ac:dyDescent="0.25">
      <c r="E131"/>
    </row>
    <row r="132" spans="5:5" ht="15" x14ac:dyDescent="0.25">
      <c r="E132"/>
    </row>
    <row r="133" spans="5:5" ht="15" x14ac:dyDescent="0.25">
      <c r="E133"/>
    </row>
    <row r="134" spans="5:5" ht="15" x14ac:dyDescent="0.25">
      <c r="E134"/>
    </row>
    <row r="135" spans="5:5" ht="15" x14ac:dyDescent="0.25">
      <c r="E135"/>
    </row>
    <row r="136" spans="5:5" ht="15" x14ac:dyDescent="0.25">
      <c r="E136"/>
    </row>
    <row r="137" spans="5:5" ht="15" x14ac:dyDescent="0.25">
      <c r="E137"/>
    </row>
    <row r="138" spans="5:5" ht="15" x14ac:dyDescent="0.25">
      <c r="E138"/>
    </row>
    <row r="139" spans="5:5" ht="15" x14ac:dyDescent="0.25">
      <c r="E139"/>
    </row>
    <row r="140" spans="5:5" ht="15" x14ac:dyDescent="0.25">
      <c r="E140"/>
    </row>
    <row r="141" spans="5:5" ht="15" x14ac:dyDescent="0.25">
      <c r="E141"/>
    </row>
    <row r="142" spans="5:5" ht="15" x14ac:dyDescent="0.25">
      <c r="E142"/>
    </row>
  </sheetData>
  <autoFilter ref="A1:Q53" xr:uid="{00000000-0001-0000-0000-000000000000}"/>
  <pageMargins left="0.7" right="0.7" top="0.75" bottom="0.75" header="0.3" footer="0.3"/>
  <pageSetup orientation="portrait" r:id="rId1"/>
  <headerFooter>
    <oddHeader>&amp;L&amp;"Arial"&amp;8&amp;K000000INTERNAL&amp;1#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1262-F28A-460A-97CF-FAC6F913A543}">
  <dimension ref="A1:E5"/>
  <sheetViews>
    <sheetView workbookViewId="0">
      <selection activeCell="H5" sqref="H5"/>
    </sheetView>
  </sheetViews>
  <sheetFormatPr defaultRowHeight="15" x14ac:dyDescent="0.25"/>
  <cols>
    <col min="1" max="1" width="12.85546875" bestFit="1" customWidth="1"/>
    <col min="2" max="2" width="26" customWidth="1"/>
    <col min="3" max="3" width="21.42578125" customWidth="1"/>
    <col min="4" max="4" width="10.42578125" customWidth="1"/>
    <col min="5" max="5" width="10.140625" bestFit="1" customWidth="1"/>
  </cols>
  <sheetData>
    <row r="1" spans="1:5" ht="30" x14ac:dyDescent="0.25">
      <c r="A1" s="9" t="s">
        <v>0</v>
      </c>
      <c r="B1" s="9" t="s">
        <v>1</v>
      </c>
      <c r="C1" s="9" t="s">
        <v>13</v>
      </c>
      <c r="D1" s="9" t="s">
        <v>14</v>
      </c>
      <c r="E1" s="9" t="s">
        <v>15</v>
      </c>
    </row>
    <row r="2" spans="1:5" x14ac:dyDescent="0.25">
      <c r="A2" s="10" t="s">
        <v>16</v>
      </c>
      <c r="B2" s="10" t="s">
        <v>20</v>
      </c>
      <c r="C2" s="10">
        <v>4350357</v>
      </c>
      <c r="D2" s="10">
        <v>3520063</v>
      </c>
      <c r="E2" s="11">
        <v>45428</v>
      </c>
    </row>
    <row r="3" spans="1:5" x14ac:dyDescent="0.25">
      <c r="A3" s="10" t="s">
        <v>21</v>
      </c>
      <c r="B3" s="10" t="s">
        <v>22</v>
      </c>
      <c r="C3" s="10" t="s">
        <v>23</v>
      </c>
      <c r="D3" s="10">
        <v>3034965</v>
      </c>
      <c r="E3" s="11">
        <v>45397</v>
      </c>
    </row>
    <row r="4" spans="1:5" x14ac:dyDescent="0.25">
      <c r="A4" s="10" t="s">
        <v>24</v>
      </c>
      <c r="B4" s="10" t="s">
        <v>25</v>
      </c>
      <c r="C4" s="10">
        <v>24040205</v>
      </c>
      <c r="D4" s="10">
        <v>3513274</v>
      </c>
      <c r="E4" s="11">
        <v>45428</v>
      </c>
    </row>
    <row r="5" spans="1:5" x14ac:dyDescent="0.25">
      <c r="A5" s="10" t="s">
        <v>17</v>
      </c>
      <c r="B5" s="10" t="s">
        <v>18</v>
      </c>
      <c r="C5" s="10" t="s">
        <v>19</v>
      </c>
      <c r="D5" s="10">
        <v>3305636</v>
      </c>
      <c r="E5" s="11">
        <v>45414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82B5-478C-4AFF-A6E4-30CD30DD736C}">
  <dimension ref="A1:K134"/>
  <sheetViews>
    <sheetView topLeftCell="A111" workbookViewId="0">
      <selection activeCell="F2" sqref="F2:F126"/>
    </sheetView>
  </sheetViews>
  <sheetFormatPr defaultRowHeight="15" x14ac:dyDescent="0.25"/>
  <cols>
    <col min="2" max="2" width="16.5703125" customWidth="1"/>
    <col min="3" max="3" width="21.7109375" bestFit="1" customWidth="1"/>
    <col min="4" max="4" width="11.7109375" bestFit="1" customWidth="1"/>
    <col min="5" max="5" width="10.42578125" customWidth="1"/>
    <col min="6" max="6" width="7.28515625" customWidth="1"/>
    <col min="7" max="7" width="11" bestFit="1" customWidth="1"/>
    <col min="8" max="8" width="12" bestFit="1" customWidth="1"/>
    <col min="9" max="9" width="13.7109375" bestFit="1" customWidth="1"/>
    <col min="10" max="10" width="11" bestFit="1" customWidth="1"/>
    <col min="11" max="11" width="11.42578125" bestFit="1" customWidth="1"/>
  </cols>
  <sheetData>
    <row r="1" spans="1:11" x14ac:dyDescent="0.25">
      <c r="A1" s="7" t="s">
        <v>11</v>
      </c>
      <c r="B1" s="7" t="s">
        <v>0</v>
      </c>
      <c r="C1" s="7" t="s">
        <v>1</v>
      </c>
      <c r="D1" s="8" t="s">
        <v>2</v>
      </c>
      <c r="E1" s="8" t="s">
        <v>12</v>
      </c>
      <c r="F1" s="7" t="s">
        <v>3</v>
      </c>
      <c r="G1" s="7" t="s">
        <v>4</v>
      </c>
      <c r="H1" s="7" t="s">
        <v>5</v>
      </c>
      <c r="I1" s="7" t="s">
        <v>6</v>
      </c>
      <c r="K1">
        <v>89.3</v>
      </c>
    </row>
    <row r="2" spans="1:11" x14ac:dyDescent="0.25">
      <c r="A2" s="1">
        <v>1</v>
      </c>
      <c r="B2" s="2" t="s">
        <v>26</v>
      </c>
      <c r="C2" s="2" t="s">
        <v>27</v>
      </c>
      <c r="D2" s="2">
        <v>40161000</v>
      </c>
      <c r="E2" s="2">
        <v>401699</v>
      </c>
      <c r="F2" s="2" t="s">
        <v>226</v>
      </c>
      <c r="G2" s="2">
        <v>150</v>
      </c>
      <c r="H2" s="1">
        <v>5.4</v>
      </c>
      <c r="I2" s="3">
        <f t="shared" ref="I2:I65" si="0">G2*H2</f>
        <v>810</v>
      </c>
      <c r="J2">
        <f>H2*$K$1</f>
        <v>482.22</v>
      </c>
      <c r="K2">
        <f>G2*J2</f>
        <v>72333</v>
      </c>
    </row>
    <row r="3" spans="1:11" x14ac:dyDescent="0.25">
      <c r="A3" s="1">
        <v>2</v>
      </c>
      <c r="B3" s="2" t="s">
        <v>231</v>
      </c>
      <c r="C3" s="2" t="s">
        <v>80</v>
      </c>
      <c r="D3" s="2">
        <v>87089900</v>
      </c>
      <c r="E3" s="2">
        <v>870899</v>
      </c>
      <c r="F3" s="2" t="s">
        <v>226</v>
      </c>
      <c r="G3" s="2">
        <v>15</v>
      </c>
      <c r="H3" s="1">
        <v>1.43</v>
      </c>
      <c r="I3" s="3">
        <f t="shared" si="0"/>
        <v>21.45</v>
      </c>
      <c r="J3">
        <f t="shared" ref="J3:J66" si="1">H3*$K$1</f>
        <v>127.69899999999998</v>
      </c>
      <c r="K3">
        <f t="shared" ref="K3:K66" si="2">G3*J3</f>
        <v>1915.4849999999997</v>
      </c>
    </row>
    <row r="4" spans="1:11" x14ac:dyDescent="0.25">
      <c r="A4" s="1">
        <v>3</v>
      </c>
      <c r="B4" s="2" t="s">
        <v>232</v>
      </c>
      <c r="C4" s="2" t="s">
        <v>120</v>
      </c>
      <c r="D4" s="2">
        <v>87089900</v>
      </c>
      <c r="E4" s="2">
        <v>870899</v>
      </c>
      <c r="F4" s="2" t="s">
        <v>226</v>
      </c>
      <c r="G4" s="2">
        <v>60</v>
      </c>
      <c r="H4" s="1">
        <v>1.21</v>
      </c>
      <c r="I4" s="3">
        <f t="shared" si="0"/>
        <v>72.599999999999994</v>
      </c>
      <c r="J4">
        <f t="shared" si="1"/>
        <v>108.053</v>
      </c>
      <c r="K4">
        <f t="shared" si="2"/>
        <v>6483.18</v>
      </c>
    </row>
    <row r="5" spans="1:11" ht="30" x14ac:dyDescent="0.25">
      <c r="A5" s="1">
        <v>4</v>
      </c>
      <c r="B5" s="2" t="s">
        <v>28</v>
      </c>
      <c r="C5" s="2" t="s">
        <v>29</v>
      </c>
      <c r="D5" s="2">
        <v>87089900</v>
      </c>
      <c r="E5" s="2">
        <v>870899</v>
      </c>
      <c r="F5" s="2" t="s">
        <v>226</v>
      </c>
      <c r="G5" s="2">
        <v>45</v>
      </c>
      <c r="H5" s="1">
        <v>3.94</v>
      </c>
      <c r="I5" s="3">
        <f t="shared" si="0"/>
        <v>177.3</v>
      </c>
      <c r="J5">
        <f t="shared" si="1"/>
        <v>351.84199999999998</v>
      </c>
      <c r="K5">
        <f t="shared" si="2"/>
        <v>15832.89</v>
      </c>
    </row>
    <row r="6" spans="1:11" ht="30" x14ac:dyDescent="0.25">
      <c r="A6" s="1">
        <v>5</v>
      </c>
      <c r="B6" s="2" t="s">
        <v>30</v>
      </c>
      <c r="C6" s="2" t="s">
        <v>29</v>
      </c>
      <c r="D6" s="2">
        <v>87089900</v>
      </c>
      <c r="E6" s="2">
        <v>870899</v>
      </c>
      <c r="F6" s="2" t="s">
        <v>226</v>
      </c>
      <c r="G6" s="2">
        <v>45</v>
      </c>
      <c r="H6" s="1">
        <v>4.41</v>
      </c>
      <c r="I6" s="3">
        <f t="shared" si="0"/>
        <v>198.45000000000002</v>
      </c>
      <c r="J6">
        <f t="shared" si="1"/>
        <v>393.81299999999999</v>
      </c>
      <c r="K6">
        <f t="shared" si="2"/>
        <v>17721.584999999999</v>
      </c>
    </row>
    <row r="7" spans="1:11" x14ac:dyDescent="0.25">
      <c r="A7" s="1">
        <v>6</v>
      </c>
      <c r="B7" s="2" t="s">
        <v>31</v>
      </c>
      <c r="C7" s="2" t="s">
        <v>32</v>
      </c>
      <c r="D7" s="2">
        <v>87089900</v>
      </c>
      <c r="E7" s="2">
        <v>870899</v>
      </c>
      <c r="F7" s="2" t="s">
        <v>226</v>
      </c>
      <c r="G7" s="2">
        <v>10</v>
      </c>
      <c r="H7" s="1">
        <v>12.53</v>
      </c>
      <c r="I7" s="3">
        <f t="shared" si="0"/>
        <v>125.3</v>
      </c>
      <c r="J7">
        <f t="shared" si="1"/>
        <v>1118.9289999999999</v>
      </c>
      <c r="K7">
        <f t="shared" si="2"/>
        <v>11189.289999999999</v>
      </c>
    </row>
    <row r="8" spans="1:11" x14ac:dyDescent="0.25">
      <c r="A8" s="1">
        <v>7</v>
      </c>
      <c r="B8" s="2" t="s">
        <v>33</v>
      </c>
      <c r="C8" s="2" t="s">
        <v>32</v>
      </c>
      <c r="D8" s="2">
        <v>87089900</v>
      </c>
      <c r="E8" s="2">
        <v>870899</v>
      </c>
      <c r="F8" s="2" t="s">
        <v>226</v>
      </c>
      <c r="G8" s="2">
        <v>24</v>
      </c>
      <c r="H8" s="1">
        <v>22.5</v>
      </c>
      <c r="I8" s="3">
        <f t="shared" si="0"/>
        <v>540</v>
      </c>
      <c r="J8">
        <f t="shared" si="1"/>
        <v>2009.25</v>
      </c>
      <c r="K8">
        <f t="shared" si="2"/>
        <v>48222</v>
      </c>
    </row>
    <row r="9" spans="1:11" x14ac:dyDescent="0.25">
      <c r="A9" s="1">
        <v>8</v>
      </c>
      <c r="B9" s="2" t="s">
        <v>34</v>
      </c>
      <c r="C9" s="2" t="s">
        <v>32</v>
      </c>
      <c r="D9" s="2">
        <v>87089900</v>
      </c>
      <c r="E9" s="2">
        <v>870899</v>
      </c>
      <c r="F9" s="2" t="s">
        <v>226</v>
      </c>
      <c r="G9" s="2">
        <v>24</v>
      </c>
      <c r="H9" s="1">
        <v>22.34</v>
      </c>
      <c r="I9" s="3">
        <f t="shared" si="0"/>
        <v>536.16</v>
      </c>
      <c r="J9">
        <f t="shared" si="1"/>
        <v>1994.962</v>
      </c>
      <c r="K9">
        <f t="shared" si="2"/>
        <v>47879.088000000003</v>
      </c>
    </row>
    <row r="10" spans="1:11" x14ac:dyDescent="0.25">
      <c r="A10" s="1">
        <v>9</v>
      </c>
      <c r="B10" s="2" t="s">
        <v>35</v>
      </c>
      <c r="C10" s="2" t="s">
        <v>36</v>
      </c>
      <c r="D10" s="2">
        <v>87089900</v>
      </c>
      <c r="E10" s="2">
        <v>870899</v>
      </c>
      <c r="F10" s="2" t="s">
        <v>226</v>
      </c>
      <c r="G10" s="2">
        <v>12</v>
      </c>
      <c r="H10" s="1">
        <v>1.68</v>
      </c>
      <c r="I10" s="3">
        <f t="shared" si="0"/>
        <v>20.16</v>
      </c>
      <c r="J10">
        <f t="shared" si="1"/>
        <v>150.024</v>
      </c>
      <c r="K10">
        <f t="shared" si="2"/>
        <v>1800.288</v>
      </c>
    </row>
    <row r="11" spans="1:11" x14ac:dyDescent="0.25">
      <c r="A11" s="1">
        <v>10</v>
      </c>
      <c r="B11" s="2" t="s">
        <v>37</v>
      </c>
      <c r="C11" s="2" t="s">
        <v>36</v>
      </c>
      <c r="D11" s="2">
        <v>87089900</v>
      </c>
      <c r="E11" s="2">
        <v>870899</v>
      </c>
      <c r="F11" s="2" t="s">
        <v>226</v>
      </c>
      <c r="G11" s="2">
        <v>12</v>
      </c>
      <c r="H11" s="1">
        <v>1.59</v>
      </c>
      <c r="I11" s="3">
        <f t="shared" si="0"/>
        <v>19.080000000000002</v>
      </c>
      <c r="J11">
        <f t="shared" si="1"/>
        <v>141.98699999999999</v>
      </c>
      <c r="K11">
        <f t="shared" si="2"/>
        <v>1703.8440000000001</v>
      </c>
    </row>
    <row r="12" spans="1:11" ht="30" x14ac:dyDescent="0.25">
      <c r="A12" s="1">
        <v>11</v>
      </c>
      <c r="B12" s="2" t="s">
        <v>38</v>
      </c>
      <c r="C12" s="2" t="s">
        <v>39</v>
      </c>
      <c r="D12" s="2">
        <v>85443000</v>
      </c>
      <c r="E12" s="2">
        <v>854499</v>
      </c>
      <c r="F12" s="2" t="s">
        <v>226</v>
      </c>
      <c r="G12" s="2">
        <v>20</v>
      </c>
      <c r="H12" s="1">
        <v>10.29</v>
      </c>
      <c r="I12" s="3">
        <f t="shared" si="0"/>
        <v>205.79999999999998</v>
      </c>
      <c r="J12">
        <f t="shared" si="1"/>
        <v>918.89699999999993</v>
      </c>
      <c r="K12">
        <f t="shared" si="2"/>
        <v>18377.939999999999</v>
      </c>
    </row>
    <row r="13" spans="1:11" ht="30" x14ac:dyDescent="0.25">
      <c r="A13" s="1">
        <v>12</v>
      </c>
      <c r="B13" s="2" t="s">
        <v>40</v>
      </c>
      <c r="C13" s="2" t="s">
        <v>39</v>
      </c>
      <c r="D13" s="2">
        <v>85443000</v>
      </c>
      <c r="E13" s="2">
        <v>854499</v>
      </c>
      <c r="F13" s="2" t="s">
        <v>226</v>
      </c>
      <c r="G13" s="2">
        <v>20</v>
      </c>
      <c r="H13" s="1">
        <v>9.0299999999999994</v>
      </c>
      <c r="I13" s="3">
        <f t="shared" si="0"/>
        <v>180.6</v>
      </c>
      <c r="J13">
        <f t="shared" si="1"/>
        <v>806.37899999999991</v>
      </c>
      <c r="K13">
        <f t="shared" si="2"/>
        <v>16127.579999999998</v>
      </c>
    </row>
    <row r="14" spans="1:11" x14ac:dyDescent="0.25">
      <c r="A14" s="1">
        <v>13</v>
      </c>
      <c r="B14" s="2" t="s">
        <v>41</v>
      </c>
      <c r="C14" s="2" t="s">
        <v>42</v>
      </c>
      <c r="D14" s="2">
        <v>85443000</v>
      </c>
      <c r="E14" s="2">
        <v>854499</v>
      </c>
      <c r="F14" s="2" t="s">
        <v>226</v>
      </c>
      <c r="G14" s="2">
        <v>20</v>
      </c>
      <c r="H14" s="1">
        <v>11.94</v>
      </c>
      <c r="I14" s="3">
        <f t="shared" si="0"/>
        <v>238.79999999999998</v>
      </c>
      <c r="J14">
        <f t="shared" si="1"/>
        <v>1066.242</v>
      </c>
      <c r="K14">
        <f t="shared" si="2"/>
        <v>21324.84</v>
      </c>
    </row>
    <row r="15" spans="1:11" x14ac:dyDescent="0.25">
      <c r="A15" s="1">
        <v>14</v>
      </c>
      <c r="B15" s="2" t="s">
        <v>43</v>
      </c>
      <c r="C15" s="2" t="s">
        <v>42</v>
      </c>
      <c r="D15" s="2">
        <v>85443000</v>
      </c>
      <c r="E15" s="2">
        <v>854499</v>
      </c>
      <c r="F15" s="2" t="s">
        <v>226</v>
      </c>
      <c r="G15" s="2">
        <v>20</v>
      </c>
      <c r="H15" s="1">
        <v>11.37</v>
      </c>
      <c r="I15" s="3">
        <f t="shared" si="0"/>
        <v>227.39999999999998</v>
      </c>
      <c r="J15">
        <f t="shared" si="1"/>
        <v>1015.3409999999999</v>
      </c>
      <c r="K15">
        <f t="shared" si="2"/>
        <v>20306.82</v>
      </c>
    </row>
    <row r="16" spans="1:11" ht="30" x14ac:dyDescent="0.25">
      <c r="A16" s="1">
        <v>15</v>
      </c>
      <c r="B16" s="2" t="s">
        <v>44</v>
      </c>
      <c r="C16" s="2" t="s">
        <v>39</v>
      </c>
      <c r="D16" s="2">
        <v>85443000</v>
      </c>
      <c r="E16" s="2">
        <v>854499</v>
      </c>
      <c r="F16" s="2" t="s">
        <v>226</v>
      </c>
      <c r="G16" s="2">
        <v>20</v>
      </c>
      <c r="H16" s="1">
        <v>7.28</v>
      </c>
      <c r="I16" s="3">
        <f t="shared" si="0"/>
        <v>145.6</v>
      </c>
      <c r="J16">
        <f t="shared" si="1"/>
        <v>650.10400000000004</v>
      </c>
      <c r="K16">
        <f t="shared" si="2"/>
        <v>13002.080000000002</v>
      </c>
    </row>
    <row r="17" spans="1:11" ht="30" x14ac:dyDescent="0.25">
      <c r="A17" s="1">
        <v>16</v>
      </c>
      <c r="B17" s="2" t="s">
        <v>45</v>
      </c>
      <c r="C17" s="2" t="s">
        <v>39</v>
      </c>
      <c r="D17" s="2">
        <v>85443000</v>
      </c>
      <c r="E17" s="2">
        <v>854499</v>
      </c>
      <c r="F17" s="2" t="s">
        <v>226</v>
      </c>
      <c r="G17" s="2">
        <v>20</v>
      </c>
      <c r="H17" s="1">
        <v>7.29</v>
      </c>
      <c r="I17" s="3">
        <f t="shared" si="0"/>
        <v>145.80000000000001</v>
      </c>
      <c r="J17">
        <f t="shared" si="1"/>
        <v>650.99699999999996</v>
      </c>
      <c r="K17">
        <f t="shared" si="2"/>
        <v>13019.939999999999</v>
      </c>
    </row>
    <row r="18" spans="1:11" ht="30" x14ac:dyDescent="0.25">
      <c r="A18" s="1">
        <v>17</v>
      </c>
      <c r="B18" s="2" t="s">
        <v>46</v>
      </c>
      <c r="C18" s="2" t="s">
        <v>47</v>
      </c>
      <c r="D18" s="2">
        <v>85369090</v>
      </c>
      <c r="E18" s="2">
        <v>853699</v>
      </c>
      <c r="F18" s="2" t="s">
        <v>226</v>
      </c>
      <c r="G18" s="2">
        <v>104</v>
      </c>
      <c r="H18" s="1">
        <v>2.84</v>
      </c>
      <c r="I18" s="3">
        <f t="shared" si="0"/>
        <v>295.36</v>
      </c>
      <c r="J18">
        <f t="shared" si="1"/>
        <v>253.61199999999997</v>
      </c>
      <c r="K18">
        <f t="shared" si="2"/>
        <v>26375.647999999997</v>
      </c>
    </row>
    <row r="19" spans="1:11" x14ac:dyDescent="0.25">
      <c r="A19" s="1">
        <v>18</v>
      </c>
      <c r="B19" s="2" t="s">
        <v>48</v>
      </c>
      <c r="C19" s="2" t="s">
        <v>49</v>
      </c>
      <c r="D19" s="2">
        <v>87089900</v>
      </c>
      <c r="E19" s="2">
        <v>870899</v>
      </c>
      <c r="F19" s="2" t="s">
        <v>226</v>
      </c>
      <c r="G19" s="2">
        <v>3000</v>
      </c>
      <c r="H19" s="1">
        <v>0.74</v>
      </c>
      <c r="I19" s="3">
        <f t="shared" si="0"/>
        <v>2220</v>
      </c>
      <c r="J19">
        <f t="shared" si="1"/>
        <v>66.081999999999994</v>
      </c>
      <c r="K19">
        <f t="shared" si="2"/>
        <v>198245.99999999997</v>
      </c>
    </row>
    <row r="20" spans="1:11" ht="30" x14ac:dyDescent="0.25">
      <c r="A20" s="1">
        <v>19</v>
      </c>
      <c r="B20" s="2" t="s">
        <v>50</v>
      </c>
      <c r="C20" s="2" t="s">
        <v>51</v>
      </c>
      <c r="D20" s="2">
        <v>87089900</v>
      </c>
      <c r="E20" s="2">
        <v>870899</v>
      </c>
      <c r="F20" s="2" t="s">
        <v>226</v>
      </c>
      <c r="G20" s="2">
        <v>48</v>
      </c>
      <c r="H20" s="1">
        <v>9.0299999999999994</v>
      </c>
      <c r="I20" s="3">
        <f t="shared" si="0"/>
        <v>433.43999999999994</v>
      </c>
      <c r="J20">
        <f t="shared" si="1"/>
        <v>806.37899999999991</v>
      </c>
      <c r="K20">
        <f t="shared" si="2"/>
        <v>38706.191999999995</v>
      </c>
    </row>
    <row r="21" spans="1:11" x14ac:dyDescent="0.25">
      <c r="A21" s="1">
        <v>20</v>
      </c>
      <c r="B21" s="2" t="s">
        <v>52</v>
      </c>
      <c r="C21" s="2" t="s">
        <v>53</v>
      </c>
      <c r="D21" s="2">
        <v>87081090</v>
      </c>
      <c r="E21" s="2">
        <v>870899</v>
      </c>
      <c r="F21" s="2" t="s">
        <v>226</v>
      </c>
      <c r="G21" s="2">
        <v>100</v>
      </c>
      <c r="H21" s="1">
        <v>16.489999999999998</v>
      </c>
      <c r="I21" s="3">
        <f t="shared" si="0"/>
        <v>1648.9999999999998</v>
      </c>
      <c r="J21">
        <f t="shared" si="1"/>
        <v>1472.5569999999998</v>
      </c>
      <c r="K21">
        <f t="shared" si="2"/>
        <v>147255.69999999998</v>
      </c>
    </row>
    <row r="22" spans="1:11" x14ac:dyDescent="0.25">
      <c r="A22" s="1">
        <v>21</v>
      </c>
      <c r="B22" s="2" t="s">
        <v>54</v>
      </c>
      <c r="C22" s="2" t="s">
        <v>53</v>
      </c>
      <c r="D22" s="2">
        <v>87089900</v>
      </c>
      <c r="E22" s="2">
        <v>870899</v>
      </c>
      <c r="F22" s="2" t="s">
        <v>226</v>
      </c>
      <c r="G22" s="2">
        <v>80</v>
      </c>
      <c r="H22" s="1">
        <v>10</v>
      </c>
      <c r="I22" s="3">
        <f t="shared" si="0"/>
        <v>800</v>
      </c>
      <c r="J22">
        <f t="shared" si="1"/>
        <v>893</v>
      </c>
      <c r="K22">
        <f t="shared" si="2"/>
        <v>71440</v>
      </c>
    </row>
    <row r="23" spans="1:11" ht="30" x14ac:dyDescent="0.25">
      <c r="A23" s="1">
        <v>22</v>
      </c>
      <c r="B23" s="2" t="s">
        <v>55</v>
      </c>
      <c r="C23" s="2" t="s">
        <v>56</v>
      </c>
      <c r="D23" s="2">
        <v>87089900</v>
      </c>
      <c r="E23" s="2">
        <v>870899</v>
      </c>
      <c r="F23" s="2" t="s">
        <v>226</v>
      </c>
      <c r="G23" s="2">
        <v>1000</v>
      </c>
      <c r="H23" s="1">
        <v>7.0000000000000007E-2</v>
      </c>
      <c r="I23" s="3">
        <f t="shared" si="0"/>
        <v>70</v>
      </c>
      <c r="J23">
        <f t="shared" si="1"/>
        <v>6.2510000000000003</v>
      </c>
      <c r="K23">
        <f t="shared" si="2"/>
        <v>6251</v>
      </c>
    </row>
    <row r="24" spans="1:11" x14ac:dyDescent="0.25">
      <c r="A24" s="1">
        <v>23</v>
      </c>
      <c r="B24" s="2" t="s">
        <v>57</v>
      </c>
      <c r="C24" s="2" t="s">
        <v>58</v>
      </c>
      <c r="D24" s="2">
        <v>87089900</v>
      </c>
      <c r="E24" s="2">
        <v>870899</v>
      </c>
      <c r="F24" s="2" t="s">
        <v>226</v>
      </c>
      <c r="G24" s="2">
        <v>8</v>
      </c>
      <c r="H24" s="1">
        <v>0.82</v>
      </c>
      <c r="I24" s="3">
        <f t="shared" si="0"/>
        <v>6.56</v>
      </c>
      <c r="J24">
        <f t="shared" si="1"/>
        <v>73.225999999999999</v>
      </c>
      <c r="K24">
        <f t="shared" si="2"/>
        <v>585.80799999999999</v>
      </c>
    </row>
    <row r="25" spans="1:11" x14ac:dyDescent="0.25">
      <c r="A25" s="1">
        <v>24</v>
      </c>
      <c r="B25" s="2" t="s">
        <v>59</v>
      </c>
      <c r="C25" s="2" t="s">
        <v>60</v>
      </c>
      <c r="D25" s="2">
        <v>87089900</v>
      </c>
      <c r="E25" s="2">
        <v>870899</v>
      </c>
      <c r="F25" s="2" t="s">
        <v>226</v>
      </c>
      <c r="G25" s="2">
        <v>80</v>
      </c>
      <c r="H25" s="1">
        <v>0.55000000000000004</v>
      </c>
      <c r="I25" s="3">
        <f t="shared" si="0"/>
        <v>44</v>
      </c>
      <c r="J25">
        <f t="shared" si="1"/>
        <v>49.115000000000002</v>
      </c>
      <c r="K25">
        <f t="shared" si="2"/>
        <v>3929.2000000000003</v>
      </c>
    </row>
    <row r="26" spans="1:11" x14ac:dyDescent="0.25">
      <c r="A26" s="1">
        <v>25</v>
      </c>
      <c r="B26" s="2" t="s">
        <v>61</v>
      </c>
      <c r="C26" s="2" t="s">
        <v>62</v>
      </c>
      <c r="D26" s="2">
        <v>87089900</v>
      </c>
      <c r="E26" s="2">
        <v>870899</v>
      </c>
      <c r="F26" s="2" t="s">
        <v>226</v>
      </c>
      <c r="G26" s="2">
        <v>1000</v>
      </c>
      <c r="H26" s="1">
        <v>0.11</v>
      </c>
      <c r="I26" s="3">
        <f t="shared" si="0"/>
        <v>110</v>
      </c>
      <c r="J26">
        <f t="shared" si="1"/>
        <v>9.8230000000000004</v>
      </c>
      <c r="K26">
        <f t="shared" si="2"/>
        <v>9823</v>
      </c>
    </row>
    <row r="27" spans="1:11" ht="30" x14ac:dyDescent="0.25">
      <c r="A27" s="1">
        <v>26</v>
      </c>
      <c r="B27" s="2" t="s">
        <v>63</v>
      </c>
      <c r="C27" s="2" t="s">
        <v>64</v>
      </c>
      <c r="D27" s="2">
        <v>87089900</v>
      </c>
      <c r="E27" s="2">
        <v>870899</v>
      </c>
      <c r="F27" s="2" t="s">
        <v>226</v>
      </c>
      <c r="G27" s="2">
        <v>15</v>
      </c>
      <c r="H27" s="1">
        <v>1.22</v>
      </c>
      <c r="I27" s="3">
        <f t="shared" si="0"/>
        <v>18.3</v>
      </c>
      <c r="J27">
        <f t="shared" si="1"/>
        <v>108.946</v>
      </c>
      <c r="K27">
        <f t="shared" si="2"/>
        <v>1634.19</v>
      </c>
    </row>
    <row r="28" spans="1:11" x14ac:dyDescent="0.25">
      <c r="A28" s="1">
        <v>27</v>
      </c>
      <c r="B28" s="2" t="s">
        <v>65</v>
      </c>
      <c r="C28" s="2" t="s">
        <v>66</v>
      </c>
      <c r="D28" s="2">
        <v>87089900</v>
      </c>
      <c r="E28" s="2">
        <v>870899</v>
      </c>
      <c r="F28" s="2" t="s">
        <v>226</v>
      </c>
      <c r="G28" s="2">
        <v>1000</v>
      </c>
      <c r="H28" s="1">
        <v>0.49</v>
      </c>
      <c r="I28" s="3">
        <f t="shared" si="0"/>
        <v>490</v>
      </c>
      <c r="J28">
        <f t="shared" si="1"/>
        <v>43.756999999999998</v>
      </c>
      <c r="K28">
        <f t="shared" si="2"/>
        <v>43757</v>
      </c>
    </row>
    <row r="29" spans="1:11" x14ac:dyDescent="0.25">
      <c r="A29" s="1">
        <v>28</v>
      </c>
      <c r="B29" s="2" t="s">
        <v>67</v>
      </c>
      <c r="C29" s="2" t="s">
        <v>68</v>
      </c>
      <c r="D29" s="2">
        <v>85123010</v>
      </c>
      <c r="E29" s="2">
        <v>8512</v>
      </c>
      <c r="F29" s="2" t="s">
        <v>226</v>
      </c>
      <c r="G29" s="2">
        <v>50</v>
      </c>
      <c r="H29" s="1">
        <v>2.5</v>
      </c>
      <c r="I29" s="3">
        <f t="shared" si="0"/>
        <v>125</v>
      </c>
      <c r="J29">
        <f t="shared" si="1"/>
        <v>223.25</v>
      </c>
      <c r="K29">
        <f t="shared" si="2"/>
        <v>11162.5</v>
      </c>
    </row>
    <row r="30" spans="1:11" x14ac:dyDescent="0.25">
      <c r="A30" s="1">
        <v>29</v>
      </c>
      <c r="B30" s="2" t="s">
        <v>69</v>
      </c>
      <c r="C30" s="2" t="s">
        <v>70</v>
      </c>
      <c r="D30" s="2">
        <v>87081090</v>
      </c>
      <c r="E30" s="2">
        <v>870899</v>
      </c>
      <c r="F30" s="2" t="s">
        <v>226</v>
      </c>
      <c r="G30" s="2">
        <v>500</v>
      </c>
      <c r="H30" s="1">
        <v>0.14000000000000001</v>
      </c>
      <c r="I30" s="3">
        <f t="shared" si="0"/>
        <v>70</v>
      </c>
      <c r="J30">
        <f t="shared" si="1"/>
        <v>12.502000000000001</v>
      </c>
      <c r="K30">
        <f t="shared" si="2"/>
        <v>6251</v>
      </c>
    </row>
    <row r="31" spans="1:11" x14ac:dyDescent="0.25">
      <c r="A31" s="1">
        <v>30</v>
      </c>
      <c r="B31" s="2" t="s">
        <v>71</v>
      </c>
      <c r="C31" s="2" t="s">
        <v>72</v>
      </c>
      <c r="D31" s="2">
        <v>87089900</v>
      </c>
      <c r="E31" s="2">
        <v>870899</v>
      </c>
      <c r="F31" s="2" t="s">
        <v>226</v>
      </c>
      <c r="G31" s="2">
        <v>90</v>
      </c>
      <c r="H31" s="1">
        <v>7.38</v>
      </c>
      <c r="I31" s="3">
        <f t="shared" si="0"/>
        <v>664.2</v>
      </c>
      <c r="J31">
        <f t="shared" si="1"/>
        <v>659.03399999999999</v>
      </c>
      <c r="K31">
        <f t="shared" si="2"/>
        <v>59313.06</v>
      </c>
    </row>
    <row r="32" spans="1:11" x14ac:dyDescent="0.25">
      <c r="A32" s="1">
        <v>31</v>
      </c>
      <c r="B32" s="2" t="s">
        <v>73</v>
      </c>
      <c r="C32" s="2" t="s">
        <v>74</v>
      </c>
      <c r="D32" s="2">
        <v>40169990</v>
      </c>
      <c r="E32" s="2">
        <v>401699</v>
      </c>
      <c r="F32" s="2" t="s">
        <v>226</v>
      </c>
      <c r="G32" s="2">
        <v>30</v>
      </c>
      <c r="H32" s="1">
        <v>2.41</v>
      </c>
      <c r="I32" s="3">
        <f t="shared" si="0"/>
        <v>72.300000000000011</v>
      </c>
      <c r="J32">
        <f t="shared" si="1"/>
        <v>215.21299999999999</v>
      </c>
      <c r="K32">
        <f t="shared" si="2"/>
        <v>6456.3899999999994</v>
      </c>
    </row>
    <row r="33" spans="1:11" x14ac:dyDescent="0.25">
      <c r="A33" s="1">
        <v>32</v>
      </c>
      <c r="B33" s="2" t="s">
        <v>75</v>
      </c>
      <c r="C33" s="2" t="s">
        <v>76</v>
      </c>
      <c r="D33" s="2">
        <v>40169990</v>
      </c>
      <c r="E33" s="2">
        <v>401699</v>
      </c>
      <c r="F33" s="2" t="s">
        <v>226</v>
      </c>
      <c r="G33" s="2">
        <v>3</v>
      </c>
      <c r="H33" s="1">
        <v>16.82</v>
      </c>
      <c r="I33" s="3">
        <f t="shared" si="0"/>
        <v>50.46</v>
      </c>
      <c r="J33">
        <f t="shared" si="1"/>
        <v>1502.0260000000001</v>
      </c>
      <c r="K33">
        <f t="shared" si="2"/>
        <v>4506.0780000000004</v>
      </c>
    </row>
    <row r="34" spans="1:11" x14ac:dyDescent="0.25">
      <c r="A34" s="1">
        <v>33</v>
      </c>
      <c r="B34" s="2" t="s">
        <v>77</v>
      </c>
      <c r="C34" s="2" t="s">
        <v>78</v>
      </c>
      <c r="D34" s="2">
        <v>87089900</v>
      </c>
      <c r="E34" s="2">
        <v>870899</v>
      </c>
      <c r="F34" s="2" t="s">
        <v>226</v>
      </c>
      <c r="G34" s="2">
        <v>216</v>
      </c>
      <c r="H34" s="1">
        <v>2.2000000000000002</v>
      </c>
      <c r="I34" s="3">
        <f t="shared" si="0"/>
        <v>475.20000000000005</v>
      </c>
      <c r="J34">
        <f t="shared" si="1"/>
        <v>196.46</v>
      </c>
      <c r="K34">
        <f t="shared" si="2"/>
        <v>42435.360000000001</v>
      </c>
    </row>
    <row r="35" spans="1:11" x14ac:dyDescent="0.25">
      <c r="A35" s="1">
        <v>34</v>
      </c>
      <c r="B35" s="2" t="s">
        <v>79</v>
      </c>
      <c r="C35" s="2" t="s">
        <v>80</v>
      </c>
      <c r="D35" s="2">
        <v>87089900</v>
      </c>
      <c r="E35" s="2">
        <v>870899</v>
      </c>
      <c r="F35" s="2" t="s">
        <v>226</v>
      </c>
      <c r="G35" s="2">
        <v>11</v>
      </c>
      <c r="H35" s="1">
        <v>5.87</v>
      </c>
      <c r="I35" s="3">
        <f t="shared" si="0"/>
        <v>64.570000000000007</v>
      </c>
      <c r="J35">
        <f t="shared" si="1"/>
        <v>524.19100000000003</v>
      </c>
      <c r="K35">
        <f t="shared" si="2"/>
        <v>5766.1010000000006</v>
      </c>
    </row>
    <row r="36" spans="1:11" x14ac:dyDescent="0.25">
      <c r="A36" s="1">
        <v>35</v>
      </c>
      <c r="B36" s="2" t="s">
        <v>81</v>
      </c>
      <c r="C36" s="2" t="s">
        <v>82</v>
      </c>
      <c r="D36" s="2">
        <v>87089900</v>
      </c>
      <c r="E36" s="2">
        <v>870899</v>
      </c>
      <c r="F36" s="2" t="s">
        <v>226</v>
      </c>
      <c r="G36" s="2">
        <v>12</v>
      </c>
      <c r="H36" s="1">
        <v>32.68</v>
      </c>
      <c r="I36" s="3">
        <f t="shared" si="0"/>
        <v>392.15999999999997</v>
      </c>
      <c r="J36">
        <f t="shared" si="1"/>
        <v>2918.3240000000001</v>
      </c>
      <c r="K36">
        <f t="shared" si="2"/>
        <v>35019.887999999999</v>
      </c>
    </row>
    <row r="37" spans="1:11" x14ac:dyDescent="0.25">
      <c r="A37" s="1">
        <v>36</v>
      </c>
      <c r="B37" s="2" t="s">
        <v>83</v>
      </c>
      <c r="C37" s="2" t="s">
        <v>84</v>
      </c>
      <c r="D37" s="2">
        <v>87089900</v>
      </c>
      <c r="E37" s="2">
        <v>870899</v>
      </c>
      <c r="F37" s="2" t="s">
        <v>226</v>
      </c>
      <c r="G37" s="2">
        <v>40</v>
      </c>
      <c r="H37" s="1">
        <v>0.72</v>
      </c>
      <c r="I37" s="3">
        <f t="shared" si="0"/>
        <v>28.799999999999997</v>
      </c>
      <c r="J37">
        <f t="shared" si="1"/>
        <v>64.295999999999992</v>
      </c>
      <c r="K37">
        <f t="shared" si="2"/>
        <v>2571.8399999999997</v>
      </c>
    </row>
    <row r="38" spans="1:11" x14ac:dyDescent="0.25">
      <c r="A38" s="1">
        <v>37</v>
      </c>
      <c r="B38" s="2" t="s">
        <v>85</v>
      </c>
      <c r="C38" s="2" t="s">
        <v>84</v>
      </c>
      <c r="D38" s="2">
        <v>87089900</v>
      </c>
      <c r="E38" s="2">
        <v>870899</v>
      </c>
      <c r="F38" s="2" t="s">
        <v>226</v>
      </c>
      <c r="G38" s="2">
        <v>40</v>
      </c>
      <c r="H38" s="1">
        <v>0.67</v>
      </c>
      <c r="I38" s="3">
        <f t="shared" si="0"/>
        <v>26.8</v>
      </c>
      <c r="J38">
        <f t="shared" si="1"/>
        <v>59.831000000000003</v>
      </c>
      <c r="K38">
        <f t="shared" si="2"/>
        <v>2393.2400000000002</v>
      </c>
    </row>
    <row r="39" spans="1:11" x14ac:dyDescent="0.25">
      <c r="A39" s="1">
        <v>38</v>
      </c>
      <c r="B39" s="2" t="s">
        <v>86</v>
      </c>
      <c r="C39" s="2" t="s">
        <v>87</v>
      </c>
      <c r="D39" s="2">
        <v>87089900</v>
      </c>
      <c r="E39" s="2">
        <v>870899</v>
      </c>
      <c r="F39" s="2" t="s">
        <v>226</v>
      </c>
      <c r="G39" s="2">
        <v>50</v>
      </c>
      <c r="H39" s="1">
        <v>0.72</v>
      </c>
      <c r="I39" s="3">
        <f t="shared" si="0"/>
        <v>36</v>
      </c>
      <c r="J39">
        <f t="shared" si="1"/>
        <v>64.295999999999992</v>
      </c>
      <c r="K39">
        <f t="shared" si="2"/>
        <v>3214.7999999999997</v>
      </c>
    </row>
    <row r="40" spans="1:11" ht="30" x14ac:dyDescent="0.25">
      <c r="A40" s="1">
        <v>39</v>
      </c>
      <c r="B40" s="2" t="s">
        <v>88</v>
      </c>
      <c r="C40" s="2" t="s">
        <v>89</v>
      </c>
      <c r="D40" s="2">
        <v>84213990</v>
      </c>
      <c r="E40" s="2">
        <v>8421</v>
      </c>
      <c r="F40" s="2" t="s">
        <v>226</v>
      </c>
      <c r="G40" s="2">
        <v>80</v>
      </c>
      <c r="H40" s="1">
        <v>7.37</v>
      </c>
      <c r="I40" s="3">
        <f t="shared" si="0"/>
        <v>589.6</v>
      </c>
      <c r="J40">
        <f t="shared" si="1"/>
        <v>658.14099999999996</v>
      </c>
      <c r="K40">
        <f t="shared" si="2"/>
        <v>52651.28</v>
      </c>
    </row>
    <row r="41" spans="1:11" x14ac:dyDescent="0.25">
      <c r="A41" s="1">
        <v>40</v>
      </c>
      <c r="B41" s="2" t="s">
        <v>90</v>
      </c>
      <c r="C41" s="2" t="s">
        <v>80</v>
      </c>
      <c r="D41" s="2">
        <v>87082900</v>
      </c>
      <c r="E41" s="2">
        <v>870899</v>
      </c>
      <c r="F41" s="2" t="s">
        <v>226</v>
      </c>
      <c r="G41" s="2">
        <v>20</v>
      </c>
      <c r="H41" s="1">
        <v>4.2300000000000004</v>
      </c>
      <c r="I41" s="3">
        <f t="shared" si="0"/>
        <v>84.600000000000009</v>
      </c>
      <c r="J41">
        <f t="shared" si="1"/>
        <v>377.73900000000003</v>
      </c>
      <c r="K41">
        <f t="shared" si="2"/>
        <v>7554.7800000000007</v>
      </c>
    </row>
    <row r="42" spans="1:11" x14ac:dyDescent="0.25">
      <c r="A42" s="1">
        <v>41</v>
      </c>
      <c r="B42" s="2" t="s">
        <v>91</v>
      </c>
      <c r="C42" s="2" t="s">
        <v>92</v>
      </c>
      <c r="D42" s="2">
        <v>87089900</v>
      </c>
      <c r="E42" s="2">
        <v>870899</v>
      </c>
      <c r="F42" s="2" t="s">
        <v>226</v>
      </c>
      <c r="G42" s="2">
        <v>20</v>
      </c>
      <c r="H42" s="1">
        <v>14.57</v>
      </c>
      <c r="I42" s="3">
        <f t="shared" si="0"/>
        <v>291.39999999999998</v>
      </c>
      <c r="J42">
        <f t="shared" si="1"/>
        <v>1301.1009999999999</v>
      </c>
      <c r="K42">
        <f t="shared" si="2"/>
        <v>26022.019999999997</v>
      </c>
    </row>
    <row r="43" spans="1:11" x14ac:dyDescent="0.25">
      <c r="A43" s="1">
        <v>42</v>
      </c>
      <c r="B43" s="2" t="s">
        <v>93</v>
      </c>
      <c r="C43" s="2" t="s">
        <v>92</v>
      </c>
      <c r="D43" s="2">
        <v>87089900</v>
      </c>
      <c r="E43" s="2">
        <v>870899</v>
      </c>
      <c r="F43" s="2" t="s">
        <v>226</v>
      </c>
      <c r="G43" s="2">
        <v>20</v>
      </c>
      <c r="H43" s="1">
        <v>14.57</v>
      </c>
      <c r="I43" s="3">
        <f t="shared" si="0"/>
        <v>291.39999999999998</v>
      </c>
      <c r="J43">
        <f t="shared" si="1"/>
        <v>1301.1009999999999</v>
      </c>
      <c r="K43">
        <f t="shared" si="2"/>
        <v>26022.019999999997</v>
      </c>
    </row>
    <row r="44" spans="1:11" x14ac:dyDescent="0.25">
      <c r="A44" s="1">
        <v>43</v>
      </c>
      <c r="B44" s="2" t="s">
        <v>94</v>
      </c>
      <c r="C44" s="2" t="s">
        <v>95</v>
      </c>
      <c r="D44" s="2">
        <v>87089900</v>
      </c>
      <c r="E44" s="2">
        <v>870899</v>
      </c>
      <c r="F44" s="2" t="s">
        <v>226</v>
      </c>
      <c r="G44" s="2">
        <v>42</v>
      </c>
      <c r="H44" s="1">
        <v>9.9499999999999993</v>
      </c>
      <c r="I44" s="3">
        <f t="shared" si="0"/>
        <v>417.9</v>
      </c>
      <c r="J44">
        <f t="shared" si="1"/>
        <v>888.53499999999985</v>
      </c>
      <c r="K44">
        <f t="shared" si="2"/>
        <v>37318.469999999994</v>
      </c>
    </row>
    <row r="45" spans="1:11" ht="30" x14ac:dyDescent="0.25">
      <c r="A45" s="1">
        <v>44</v>
      </c>
      <c r="B45" s="2" t="s">
        <v>96</v>
      </c>
      <c r="C45" s="2" t="s">
        <v>97</v>
      </c>
      <c r="D45" s="2">
        <v>87089900</v>
      </c>
      <c r="E45" s="2">
        <v>870899</v>
      </c>
      <c r="F45" s="2" t="s">
        <v>226</v>
      </c>
      <c r="G45" s="2">
        <v>42</v>
      </c>
      <c r="H45" s="1">
        <v>17.68</v>
      </c>
      <c r="I45" s="3">
        <f t="shared" si="0"/>
        <v>742.56</v>
      </c>
      <c r="J45">
        <f t="shared" si="1"/>
        <v>1578.8239999999998</v>
      </c>
      <c r="K45">
        <f t="shared" si="2"/>
        <v>66310.607999999993</v>
      </c>
    </row>
    <row r="46" spans="1:11" x14ac:dyDescent="0.25">
      <c r="A46" s="1">
        <v>45</v>
      </c>
      <c r="B46" s="2" t="s">
        <v>98</v>
      </c>
      <c r="C46" s="2" t="s">
        <v>99</v>
      </c>
      <c r="D46" s="2">
        <v>87089900</v>
      </c>
      <c r="E46" s="2">
        <v>870899</v>
      </c>
      <c r="F46" s="2" t="s">
        <v>226</v>
      </c>
      <c r="G46" s="2">
        <v>7</v>
      </c>
      <c r="H46" s="1">
        <v>3.16</v>
      </c>
      <c r="I46" s="3">
        <f t="shared" si="0"/>
        <v>22.12</v>
      </c>
      <c r="J46">
        <f t="shared" si="1"/>
        <v>282.18799999999999</v>
      </c>
      <c r="K46">
        <f t="shared" si="2"/>
        <v>1975.3159999999998</v>
      </c>
    </row>
    <row r="47" spans="1:11" x14ac:dyDescent="0.25">
      <c r="A47" s="1">
        <v>46</v>
      </c>
      <c r="B47" s="2" t="s">
        <v>100</v>
      </c>
      <c r="C47" s="2" t="s">
        <v>99</v>
      </c>
      <c r="D47" s="2">
        <v>87089900</v>
      </c>
      <c r="E47" s="2">
        <v>870899</v>
      </c>
      <c r="F47" s="2" t="s">
        <v>226</v>
      </c>
      <c r="G47" s="2">
        <v>7</v>
      </c>
      <c r="H47" s="1">
        <v>3.13</v>
      </c>
      <c r="I47" s="3">
        <f t="shared" si="0"/>
        <v>21.91</v>
      </c>
      <c r="J47">
        <f t="shared" si="1"/>
        <v>279.50899999999996</v>
      </c>
      <c r="K47">
        <f t="shared" si="2"/>
        <v>1956.5629999999996</v>
      </c>
    </row>
    <row r="48" spans="1:11" x14ac:dyDescent="0.25">
      <c r="A48" s="1">
        <v>47</v>
      </c>
      <c r="B48" s="2" t="s">
        <v>101</v>
      </c>
      <c r="C48" s="2" t="s">
        <v>102</v>
      </c>
      <c r="D48" s="2">
        <v>87089900</v>
      </c>
      <c r="E48" s="2">
        <v>870899</v>
      </c>
      <c r="F48" s="2" t="s">
        <v>226</v>
      </c>
      <c r="G48" s="2">
        <v>54</v>
      </c>
      <c r="H48" s="1">
        <v>15.44</v>
      </c>
      <c r="I48" s="3">
        <f t="shared" si="0"/>
        <v>833.76</v>
      </c>
      <c r="J48">
        <f t="shared" si="1"/>
        <v>1378.7919999999999</v>
      </c>
      <c r="K48">
        <f t="shared" si="2"/>
        <v>74454.767999999996</v>
      </c>
    </row>
    <row r="49" spans="1:11" x14ac:dyDescent="0.25">
      <c r="A49" s="1">
        <v>48</v>
      </c>
      <c r="B49" s="2" t="s">
        <v>103</v>
      </c>
      <c r="C49" s="2" t="s">
        <v>104</v>
      </c>
      <c r="D49" s="2">
        <v>87089900</v>
      </c>
      <c r="E49" s="2">
        <v>870899</v>
      </c>
      <c r="F49" s="2" t="s">
        <v>226</v>
      </c>
      <c r="G49" s="2">
        <v>400</v>
      </c>
      <c r="H49" s="1">
        <v>1.18</v>
      </c>
      <c r="I49" s="3">
        <f t="shared" si="0"/>
        <v>472</v>
      </c>
      <c r="J49">
        <f t="shared" si="1"/>
        <v>105.374</v>
      </c>
      <c r="K49">
        <f t="shared" si="2"/>
        <v>42149.599999999999</v>
      </c>
    </row>
    <row r="50" spans="1:11" x14ac:dyDescent="0.25">
      <c r="A50" s="1">
        <v>49</v>
      </c>
      <c r="B50" s="2" t="s">
        <v>105</v>
      </c>
      <c r="C50" s="2" t="s">
        <v>104</v>
      </c>
      <c r="D50" s="2">
        <v>87089900</v>
      </c>
      <c r="E50" s="2">
        <v>870899</v>
      </c>
      <c r="F50" s="2" t="s">
        <v>226</v>
      </c>
      <c r="G50" s="2">
        <v>400</v>
      </c>
      <c r="H50" s="1">
        <v>1.18</v>
      </c>
      <c r="I50" s="3">
        <f t="shared" si="0"/>
        <v>472</v>
      </c>
      <c r="J50">
        <f t="shared" si="1"/>
        <v>105.374</v>
      </c>
      <c r="K50">
        <f t="shared" si="2"/>
        <v>42149.599999999999</v>
      </c>
    </row>
    <row r="51" spans="1:11" ht="30" x14ac:dyDescent="0.25">
      <c r="A51" s="1">
        <v>50</v>
      </c>
      <c r="B51" s="2" t="s">
        <v>106</v>
      </c>
      <c r="C51" s="2" t="s">
        <v>107</v>
      </c>
      <c r="D51" s="2">
        <v>87082900</v>
      </c>
      <c r="E51" s="2">
        <v>870899</v>
      </c>
      <c r="F51" s="2" t="s">
        <v>226</v>
      </c>
      <c r="G51" s="2">
        <v>20</v>
      </c>
      <c r="H51" s="1">
        <v>0.74</v>
      </c>
      <c r="I51" s="3">
        <f t="shared" si="0"/>
        <v>14.8</v>
      </c>
      <c r="J51">
        <f t="shared" si="1"/>
        <v>66.081999999999994</v>
      </c>
      <c r="K51">
        <f t="shared" si="2"/>
        <v>1321.6399999999999</v>
      </c>
    </row>
    <row r="52" spans="1:11" x14ac:dyDescent="0.25">
      <c r="A52" s="1">
        <v>51</v>
      </c>
      <c r="B52" s="2" t="s">
        <v>108</v>
      </c>
      <c r="C52" s="2" t="s">
        <v>109</v>
      </c>
      <c r="D52" s="2">
        <v>87089900</v>
      </c>
      <c r="E52" s="2">
        <v>870899</v>
      </c>
      <c r="F52" s="2" t="s">
        <v>226</v>
      </c>
      <c r="G52" s="2">
        <v>100</v>
      </c>
      <c r="H52" s="1">
        <v>0.4</v>
      </c>
      <c r="I52" s="3">
        <f t="shared" si="0"/>
        <v>40</v>
      </c>
      <c r="J52">
        <f t="shared" si="1"/>
        <v>35.72</v>
      </c>
      <c r="K52">
        <f t="shared" si="2"/>
        <v>3572</v>
      </c>
    </row>
    <row r="53" spans="1:11" x14ac:dyDescent="0.25">
      <c r="A53" s="1">
        <v>52</v>
      </c>
      <c r="B53" s="2" t="s">
        <v>110</v>
      </c>
      <c r="C53" s="2" t="s">
        <v>68</v>
      </c>
      <c r="D53" s="2">
        <v>85123010</v>
      </c>
      <c r="E53" s="2">
        <v>8512</v>
      </c>
      <c r="F53" s="2" t="s">
        <v>226</v>
      </c>
      <c r="G53" s="2">
        <v>50</v>
      </c>
      <c r="H53" s="1">
        <v>2.5</v>
      </c>
      <c r="I53" s="3">
        <f t="shared" si="0"/>
        <v>125</v>
      </c>
      <c r="J53">
        <f t="shared" si="1"/>
        <v>223.25</v>
      </c>
      <c r="K53">
        <f t="shared" si="2"/>
        <v>11162.5</v>
      </c>
    </row>
    <row r="54" spans="1:11" x14ac:dyDescent="0.25">
      <c r="A54" s="1">
        <v>53</v>
      </c>
      <c r="B54" s="2" t="s">
        <v>111</v>
      </c>
      <c r="C54" s="2" t="s">
        <v>112</v>
      </c>
      <c r="D54" s="2">
        <v>85365090</v>
      </c>
      <c r="E54" s="2">
        <v>853699</v>
      </c>
      <c r="F54" s="2" t="s">
        <v>226</v>
      </c>
      <c r="G54" s="2">
        <v>6</v>
      </c>
      <c r="H54" s="1">
        <v>16.57</v>
      </c>
      <c r="I54" s="3">
        <f t="shared" si="0"/>
        <v>99.42</v>
      </c>
      <c r="J54">
        <f t="shared" si="1"/>
        <v>1479.701</v>
      </c>
      <c r="K54">
        <f t="shared" si="2"/>
        <v>8878.2060000000001</v>
      </c>
    </row>
    <row r="55" spans="1:11" x14ac:dyDescent="0.25">
      <c r="A55" s="1">
        <v>54</v>
      </c>
      <c r="B55" s="2" t="s">
        <v>113</v>
      </c>
      <c r="C55" s="2" t="s">
        <v>114</v>
      </c>
      <c r="D55" s="2">
        <v>85443000</v>
      </c>
      <c r="E55" s="2">
        <v>854499</v>
      </c>
      <c r="F55" s="2" t="s">
        <v>226</v>
      </c>
      <c r="G55" s="2">
        <v>12</v>
      </c>
      <c r="H55" s="1">
        <v>10.67</v>
      </c>
      <c r="I55" s="3">
        <f t="shared" si="0"/>
        <v>128.04</v>
      </c>
      <c r="J55">
        <f t="shared" si="1"/>
        <v>952.83100000000002</v>
      </c>
      <c r="K55">
        <f t="shared" si="2"/>
        <v>11433.972</v>
      </c>
    </row>
    <row r="56" spans="1:11" x14ac:dyDescent="0.25">
      <c r="A56" s="1">
        <v>55</v>
      </c>
      <c r="B56" s="2" t="s">
        <v>115</v>
      </c>
      <c r="C56" s="2" t="s">
        <v>116</v>
      </c>
      <c r="D56" s="2">
        <v>87089900</v>
      </c>
      <c r="E56" s="2">
        <v>870899</v>
      </c>
      <c r="F56" s="2" t="s">
        <v>226</v>
      </c>
      <c r="G56" s="2">
        <v>24</v>
      </c>
      <c r="H56" s="1">
        <v>13.83</v>
      </c>
      <c r="I56" s="3">
        <f t="shared" si="0"/>
        <v>331.92</v>
      </c>
      <c r="J56">
        <f t="shared" si="1"/>
        <v>1235.019</v>
      </c>
      <c r="K56">
        <f t="shared" si="2"/>
        <v>29640.455999999998</v>
      </c>
    </row>
    <row r="57" spans="1:11" x14ac:dyDescent="0.25">
      <c r="A57" s="1">
        <v>56</v>
      </c>
      <c r="B57" s="2" t="s">
        <v>117</v>
      </c>
      <c r="C57" s="2" t="s">
        <v>118</v>
      </c>
      <c r="D57" s="2">
        <v>85291022</v>
      </c>
      <c r="E57" s="2">
        <v>8529</v>
      </c>
      <c r="F57" s="2" t="s">
        <v>226</v>
      </c>
      <c r="G57" s="2">
        <v>39</v>
      </c>
      <c r="H57" s="1">
        <v>14.46</v>
      </c>
      <c r="I57" s="3">
        <f t="shared" si="0"/>
        <v>563.94000000000005</v>
      </c>
      <c r="J57">
        <f t="shared" si="1"/>
        <v>1291.278</v>
      </c>
      <c r="K57">
        <f t="shared" si="2"/>
        <v>50359.842000000004</v>
      </c>
    </row>
    <row r="58" spans="1:11" x14ac:dyDescent="0.25">
      <c r="A58" s="1">
        <v>57</v>
      </c>
      <c r="B58" s="2" t="s">
        <v>119</v>
      </c>
      <c r="C58" s="2" t="s">
        <v>120</v>
      </c>
      <c r="D58" s="2">
        <v>87089900</v>
      </c>
      <c r="E58" s="2">
        <v>870899</v>
      </c>
      <c r="F58" s="2" t="s">
        <v>226</v>
      </c>
      <c r="G58" s="2">
        <v>72</v>
      </c>
      <c r="H58" s="1">
        <v>1.68</v>
      </c>
      <c r="I58" s="3">
        <f t="shared" si="0"/>
        <v>120.96</v>
      </c>
      <c r="J58">
        <f t="shared" si="1"/>
        <v>150.024</v>
      </c>
      <c r="K58">
        <f t="shared" si="2"/>
        <v>10801.727999999999</v>
      </c>
    </row>
    <row r="59" spans="1:11" x14ac:dyDescent="0.25">
      <c r="A59" s="1">
        <v>58</v>
      </c>
      <c r="B59" s="2" t="s">
        <v>121</v>
      </c>
      <c r="C59" s="2" t="s">
        <v>122</v>
      </c>
      <c r="D59" s="2">
        <v>87089400</v>
      </c>
      <c r="E59" s="2">
        <v>870899</v>
      </c>
      <c r="F59" s="2" t="s">
        <v>226</v>
      </c>
      <c r="G59" s="2">
        <v>33</v>
      </c>
      <c r="H59" s="1">
        <v>88.73</v>
      </c>
      <c r="I59" s="3">
        <f t="shared" si="0"/>
        <v>2928.09</v>
      </c>
      <c r="J59">
        <f t="shared" si="1"/>
        <v>7923.5889999999999</v>
      </c>
      <c r="K59">
        <f t="shared" si="2"/>
        <v>261478.43700000001</v>
      </c>
    </row>
    <row r="60" spans="1:11" x14ac:dyDescent="0.25">
      <c r="A60" s="1">
        <v>59</v>
      </c>
      <c r="B60" s="2" t="s">
        <v>123</v>
      </c>
      <c r="C60" s="2" t="s">
        <v>124</v>
      </c>
      <c r="D60" s="2">
        <v>87089900</v>
      </c>
      <c r="E60" s="2">
        <v>870899</v>
      </c>
      <c r="F60" s="2" t="s">
        <v>226</v>
      </c>
      <c r="G60" s="2">
        <v>36</v>
      </c>
      <c r="H60" s="1">
        <v>6.17</v>
      </c>
      <c r="I60" s="3">
        <f t="shared" si="0"/>
        <v>222.12</v>
      </c>
      <c r="J60">
        <f t="shared" si="1"/>
        <v>550.98099999999999</v>
      </c>
      <c r="K60">
        <f t="shared" si="2"/>
        <v>19835.315999999999</v>
      </c>
    </row>
    <row r="61" spans="1:11" x14ac:dyDescent="0.25">
      <c r="A61" s="1">
        <v>60</v>
      </c>
      <c r="B61" s="2" t="s">
        <v>125</v>
      </c>
      <c r="C61" s="2" t="s">
        <v>126</v>
      </c>
      <c r="D61" s="2">
        <v>87081090</v>
      </c>
      <c r="E61" s="2">
        <v>870899</v>
      </c>
      <c r="F61" s="2" t="s">
        <v>226</v>
      </c>
      <c r="G61" s="2">
        <v>112</v>
      </c>
      <c r="H61" s="1">
        <v>0.23</v>
      </c>
      <c r="I61" s="3">
        <f t="shared" si="0"/>
        <v>25.76</v>
      </c>
      <c r="J61">
        <f t="shared" si="1"/>
        <v>20.539000000000001</v>
      </c>
      <c r="K61">
        <f t="shared" si="2"/>
        <v>2300.3680000000004</v>
      </c>
    </row>
    <row r="62" spans="1:11" x14ac:dyDescent="0.25">
      <c r="A62" s="1">
        <v>61</v>
      </c>
      <c r="B62" s="2" t="s">
        <v>127</v>
      </c>
      <c r="C62" s="2" t="s">
        <v>126</v>
      </c>
      <c r="D62" s="2">
        <v>87081090</v>
      </c>
      <c r="E62" s="2">
        <v>870899</v>
      </c>
      <c r="F62" s="2" t="s">
        <v>226</v>
      </c>
      <c r="G62" s="2">
        <v>112</v>
      </c>
      <c r="H62" s="1">
        <v>0.23</v>
      </c>
      <c r="I62" s="3">
        <f t="shared" si="0"/>
        <v>25.76</v>
      </c>
      <c r="J62">
        <f t="shared" si="1"/>
        <v>20.539000000000001</v>
      </c>
      <c r="K62">
        <f t="shared" si="2"/>
        <v>2300.3680000000004</v>
      </c>
    </row>
    <row r="63" spans="1:11" x14ac:dyDescent="0.25">
      <c r="A63" s="1">
        <v>62</v>
      </c>
      <c r="B63" s="2" t="s">
        <v>128</v>
      </c>
      <c r="C63" s="2" t="s">
        <v>126</v>
      </c>
      <c r="D63" s="2">
        <v>87081090</v>
      </c>
      <c r="E63" s="2">
        <v>870899</v>
      </c>
      <c r="F63" s="2" t="s">
        <v>226</v>
      </c>
      <c r="G63" s="2">
        <v>100</v>
      </c>
      <c r="H63" s="1">
        <v>0.36</v>
      </c>
      <c r="I63" s="3">
        <f t="shared" si="0"/>
        <v>36</v>
      </c>
      <c r="J63">
        <f t="shared" si="1"/>
        <v>32.147999999999996</v>
      </c>
      <c r="K63">
        <f t="shared" si="2"/>
        <v>3214.7999999999997</v>
      </c>
    </row>
    <row r="64" spans="1:11" x14ac:dyDescent="0.25">
      <c r="A64" s="1">
        <v>63</v>
      </c>
      <c r="B64" s="2" t="s">
        <v>129</v>
      </c>
      <c r="C64" s="2" t="s">
        <v>126</v>
      </c>
      <c r="D64" s="2">
        <v>87081090</v>
      </c>
      <c r="E64" s="2">
        <v>870899</v>
      </c>
      <c r="F64" s="2" t="s">
        <v>226</v>
      </c>
      <c r="G64" s="2">
        <v>100</v>
      </c>
      <c r="H64" s="1">
        <v>0.36</v>
      </c>
      <c r="I64" s="3">
        <f t="shared" si="0"/>
        <v>36</v>
      </c>
      <c r="J64">
        <f t="shared" si="1"/>
        <v>32.147999999999996</v>
      </c>
      <c r="K64">
        <f t="shared" si="2"/>
        <v>3214.7999999999997</v>
      </c>
    </row>
    <row r="65" spans="1:11" x14ac:dyDescent="0.25">
      <c r="A65" s="1">
        <v>64</v>
      </c>
      <c r="B65" s="2" t="s">
        <v>130</v>
      </c>
      <c r="C65" s="2" t="s">
        <v>131</v>
      </c>
      <c r="D65" s="2">
        <v>87089900</v>
      </c>
      <c r="E65" s="2">
        <v>870899</v>
      </c>
      <c r="F65" s="2" t="s">
        <v>226</v>
      </c>
      <c r="G65" s="2">
        <v>9</v>
      </c>
      <c r="H65" s="1">
        <v>3.2</v>
      </c>
      <c r="I65" s="3">
        <f t="shared" si="0"/>
        <v>28.8</v>
      </c>
      <c r="J65">
        <f t="shared" si="1"/>
        <v>285.76</v>
      </c>
      <c r="K65">
        <f t="shared" si="2"/>
        <v>2571.84</v>
      </c>
    </row>
    <row r="66" spans="1:11" ht="30" x14ac:dyDescent="0.25">
      <c r="A66" s="1">
        <v>65</v>
      </c>
      <c r="B66" s="2" t="s">
        <v>132</v>
      </c>
      <c r="C66" s="2" t="s">
        <v>133</v>
      </c>
      <c r="D66" s="2">
        <v>87089900</v>
      </c>
      <c r="E66" s="2">
        <v>870899</v>
      </c>
      <c r="F66" s="2" t="s">
        <v>226</v>
      </c>
      <c r="G66" s="2">
        <v>100</v>
      </c>
      <c r="H66" s="1">
        <v>3.03</v>
      </c>
      <c r="I66" s="3">
        <f t="shared" ref="I66:I126" si="3">G66*H66</f>
        <v>303</v>
      </c>
      <c r="J66">
        <f t="shared" si="1"/>
        <v>270.57899999999995</v>
      </c>
      <c r="K66">
        <f t="shared" si="2"/>
        <v>27057.899999999994</v>
      </c>
    </row>
    <row r="67" spans="1:11" ht="30" x14ac:dyDescent="0.25">
      <c r="A67" s="1">
        <v>66</v>
      </c>
      <c r="B67" s="2" t="s">
        <v>134</v>
      </c>
      <c r="C67" s="2" t="s">
        <v>133</v>
      </c>
      <c r="D67" s="2">
        <v>87089900</v>
      </c>
      <c r="E67" s="2">
        <v>870899</v>
      </c>
      <c r="F67" s="2" t="s">
        <v>226</v>
      </c>
      <c r="G67" s="2">
        <v>100</v>
      </c>
      <c r="H67" s="1">
        <v>3.03</v>
      </c>
      <c r="I67" s="3">
        <f t="shared" si="3"/>
        <v>303</v>
      </c>
      <c r="J67">
        <f t="shared" ref="J67:J126" si="4">H67*$K$1</f>
        <v>270.57899999999995</v>
      </c>
      <c r="K67">
        <f t="shared" ref="K67:K126" si="5">G67*J67</f>
        <v>27057.899999999994</v>
      </c>
    </row>
    <row r="68" spans="1:11" x14ac:dyDescent="0.25">
      <c r="A68" s="1">
        <v>67</v>
      </c>
      <c r="B68" s="2" t="s">
        <v>135</v>
      </c>
      <c r="C68" s="2" t="s">
        <v>136</v>
      </c>
      <c r="D68" s="2">
        <v>87082900</v>
      </c>
      <c r="E68" s="2">
        <v>870899</v>
      </c>
      <c r="F68" s="2" t="s">
        <v>226</v>
      </c>
      <c r="G68" s="2">
        <v>20</v>
      </c>
      <c r="H68" s="1">
        <v>2.34</v>
      </c>
      <c r="I68" s="3">
        <f t="shared" si="3"/>
        <v>46.8</v>
      </c>
      <c r="J68">
        <f t="shared" si="4"/>
        <v>208.96199999999999</v>
      </c>
      <c r="K68">
        <f t="shared" si="5"/>
        <v>4179.24</v>
      </c>
    </row>
    <row r="69" spans="1:11" x14ac:dyDescent="0.25">
      <c r="A69" s="1">
        <v>68</v>
      </c>
      <c r="B69" s="2" t="s">
        <v>137</v>
      </c>
      <c r="C69" s="2" t="s">
        <v>136</v>
      </c>
      <c r="D69" s="2">
        <v>87082900</v>
      </c>
      <c r="E69" s="2">
        <v>870899</v>
      </c>
      <c r="F69" s="2" t="s">
        <v>226</v>
      </c>
      <c r="G69" s="2">
        <v>20</v>
      </c>
      <c r="H69" s="1">
        <v>2.34</v>
      </c>
      <c r="I69" s="3">
        <f t="shared" si="3"/>
        <v>46.8</v>
      </c>
      <c r="J69">
        <f t="shared" si="4"/>
        <v>208.96199999999999</v>
      </c>
      <c r="K69">
        <f t="shared" si="5"/>
        <v>4179.24</v>
      </c>
    </row>
    <row r="70" spans="1:11" x14ac:dyDescent="0.25">
      <c r="A70" s="1">
        <v>69</v>
      </c>
      <c r="B70" s="2" t="s">
        <v>138</v>
      </c>
      <c r="C70" s="2" t="s">
        <v>139</v>
      </c>
      <c r="D70" s="2">
        <v>87088000</v>
      </c>
      <c r="E70" s="2">
        <v>870899</v>
      </c>
      <c r="F70" s="2" t="s">
        <v>226</v>
      </c>
      <c r="G70" s="2">
        <v>40</v>
      </c>
      <c r="H70" s="1">
        <v>2.57</v>
      </c>
      <c r="I70" s="3">
        <f t="shared" si="3"/>
        <v>102.8</v>
      </c>
      <c r="J70">
        <f t="shared" si="4"/>
        <v>229.50099999999998</v>
      </c>
      <c r="K70">
        <f t="shared" si="5"/>
        <v>9180.0399999999991</v>
      </c>
    </row>
    <row r="71" spans="1:11" x14ac:dyDescent="0.25">
      <c r="A71" s="1">
        <v>70</v>
      </c>
      <c r="B71" s="2" t="s">
        <v>140</v>
      </c>
      <c r="C71" s="2" t="s">
        <v>58</v>
      </c>
      <c r="D71" s="2">
        <v>87081090</v>
      </c>
      <c r="E71" s="2">
        <v>870899</v>
      </c>
      <c r="F71" s="2" t="s">
        <v>226</v>
      </c>
      <c r="G71" s="2">
        <v>756</v>
      </c>
      <c r="H71" s="1">
        <v>0.06</v>
      </c>
      <c r="I71" s="3">
        <f t="shared" si="3"/>
        <v>45.36</v>
      </c>
      <c r="J71">
        <f t="shared" si="4"/>
        <v>5.3579999999999997</v>
      </c>
      <c r="K71">
        <f t="shared" si="5"/>
        <v>4050.6479999999997</v>
      </c>
    </row>
    <row r="72" spans="1:11" x14ac:dyDescent="0.25">
      <c r="A72" s="1">
        <v>71</v>
      </c>
      <c r="B72" s="2" t="s">
        <v>141</v>
      </c>
      <c r="C72" s="2" t="s">
        <v>80</v>
      </c>
      <c r="D72" s="2">
        <v>87089900</v>
      </c>
      <c r="E72" s="2">
        <v>870899</v>
      </c>
      <c r="F72" s="2" t="s">
        <v>226</v>
      </c>
      <c r="G72" s="2">
        <v>252</v>
      </c>
      <c r="H72" s="1">
        <v>0.18</v>
      </c>
      <c r="I72" s="3">
        <f t="shared" si="3"/>
        <v>45.36</v>
      </c>
      <c r="J72">
        <f t="shared" si="4"/>
        <v>16.073999999999998</v>
      </c>
      <c r="K72">
        <f t="shared" si="5"/>
        <v>4050.6479999999997</v>
      </c>
    </row>
    <row r="73" spans="1:11" x14ac:dyDescent="0.25">
      <c r="A73" s="1">
        <v>72</v>
      </c>
      <c r="B73" s="2" t="s">
        <v>142</v>
      </c>
      <c r="C73" s="2" t="s">
        <v>143</v>
      </c>
      <c r="D73" s="2">
        <v>87089900</v>
      </c>
      <c r="E73" s="2">
        <v>870899</v>
      </c>
      <c r="F73" s="2" t="s">
        <v>226</v>
      </c>
      <c r="G73" s="2">
        <v>396</v>
      </c>
      <c r="H73" s="1">
        <v>4.54</v>
      </c>
      <c r="I73" s="3">
        <f t="shared" si="3"/>
        <v>1797.84</v>
      </c>
      <c r="J73">
        <f t="shared" si="4"/>
        <v>405.42199999999997</v>
      </c>
      <c r="K73">
        <f t="shared" si="5"/>
        <v>160547.11199999999</v>
      </c>
    </row>
    <row r="74" spans="1:11" x14ac:dyDescent="0.25">
      <c r="A74" s="1">
        <v>73</v>
      </c>
      <c r="B74" s="2" t="s">
        <v>144</v>
      </c>
      <c r="C74" s="2" t="s">
        <v>143</v>
      </c>
      <c r="D74" s="2">
        <v>87089900</v>
      </c>
      <c r="E74" s="2">
        <v>870899</v>
      </c>
      <c r="F74" s="2" t="s">
        <v>226</v>
      </c>
      <c r="G74" s="2">
        <v>396</v>
      </c>
      <c r="H74" s="1">
        <v>4.54</v>
      </c>
      <c r="I74" s="3">
        <f t="shared" si="3"/>
        <v>1797.84</v>
      </c>
      <c r="J74">
        <f t="shared" si="4"/>
        <v>405.42199999999997</v>
      </c>
      <c r="K74">
        <f t="shared" si="5"/>
        <v>160547.11199999999</v>
      </c>
    </row>
    <row r="75" spans="1:11" x14ac:dyDescent="0.25">
      <c r="A75" s="1">
        <v>74</v>
      </c>
      <c r="B75" s="2" t="s">
        <v>145</v>
      </c>
      <c r="C75" s="2" t="s">
        <v>32</v>
      </c>
      <c r="D75" s="2">
        <v>87141090</v>
      </c>
      <c r="E75" s="2">
        <v>841499</v>
      </c>
      <c r="F75" s="2" t="s">
        <v>226</v>
      </c>
      <c r="G75" s="2">
        <v>24</v>
      </c>
      <c r="H75" s="1">
        <v>1.49</v>
      </c>
      <c r="I75" s="3">
        <f t="shared" si="3"/>
        <v>35.76</v>
      </c>
      <c r="J75">
        <f t="shared" si="4"/>
        <v>133.05699999999999</v>
      </c>
      <c r="K75">
        <f t="shared" si="5"/>
        <v>3193.3679999999995</v>
      </c>
    </row>
    <row r="76" spans="1:11" x14ac:dyDescent="0.25">
      <c r="A76" s="1">
        <v>75</v>
      </c>
      <c r="B76" s="2" t="s">
        <v>146</v>
      </c>
      <c r="C76" s="2" t="s">
        <v>32</v>
      </c>
      <c r="D76" s="2">
        <v>87141090</v>
      </c>
      <c r="E76" s="2">
        <v>841499</v>
      </c>
      <c r="F76" s="2" t="s">
        <v>226</v>
      </c>
      <c r="G76" s="2">
        <v>24</v>
      </c>
      <c r="H76" s="1">
        <v>1.49</v>
      </c>
      <c r="I76" s="3">
        <f t="shared" si="3"/>
        <v>35.76</v>
      </c>
      <c r="J76">
        <f t="shared" si="4"/>
        <v>133.05699999999999</v>
      </c>
      <c r="K76">
        <f t="shared" si="5"/>
        <v>3193.3679999999995</v>
      </c>
    </row>
    <row r="77" spans="1:11" x14ac:dyDescent="0.25">
      <c r="A77" s="1">
        <v>76</v>
      </c>
      <c r="B77" s="2" t="s">
        <v>147</v>
      </c>
      <c r="C77" s="2" t="s">
        <v>32</v>
      </c>
      <c r="D77" s="2">
        <v>87141090</v>
      </c>
      <c r="E77" s="2">
        <v>841499</v>
      </c>
      <c r="F77" s="2" t="s">
        <v>226</v>
      </c>
      <c r="G77" s="2">
        <v>24</v>
      </c>
      <c r="H77" s="1">
        <v>2.76</v>
      </c>
      <c r="I77" s="3">
        <f t="shared" si="3"/>
        <v>66.239999999999995</v>
      </c>
      <c r="J77">
        <f t="shared" si="4"/>
        <v>246.46799999999996</v>
      </c>
      <c r="K77">
        <f t="shared" si="5"/>
        <v>5915.2319999999991</v>
      </c>
    </row>
    <row r="78" spans="1:11" x14ac:dyDescent="0.25">
      <c r="A78" s="1">
        <v>77</v>
      </c>
      <c r="B78" s="2" t="s">
        <v>148</v>
      </c>
      <c r="C78" s="2" t="s">
        <v>149</v>
      </c>
      <c r="D78" s="2">
        <v>87089900</v>
      </c>
      <c r="E78" s="2">
        <v>870899</v>
      </c>
      <c r="F78" s="2" t="s">
        <v>226</v>
      </c>
      <c r="G78" s="2">
        <v>30</v>
      </c>
      <c r="H78" s="1">
        <v>0.84</v>
      </c>
      <c r="I78" s="3">
        <f t="shared" si="3"/>
        <v>25.2</v>
      </c>
      <c r="J78">
        <f t="shared" si="4"/>
        <v>75.012</v>
      </c>
      <c r="K78">
        <f t="shared" si="5"/>
        <v>2250.36</v>
      </c>
    </row>
    <row r="79" spans="1:11" x14ac:dyDescent="0.25">
      <c r="A79" s="1">
        <v>78</v>
      </c>
      <c r="B79" s="2" t="s">
        <v>150</v>
      </c>
      <c r="C79" s="2" t="s">
        <v>149</v>
      </c>
      <c r="D79" s="2">
        <v>87089900</v>
      </c>
      <c r="E79" s="2">
        <v>870899</v>
      </c>
      <c r="F79" s="2" t="s">
        <v>226</v>
      </c>
      <c r="G79" s="2">
        <v>30</v>
      </c>
      <c r="H79" s="1">
        <v>0.84</v>
      </c>
      <c r="I79" s="3">
        <f t="shared" si="3"/>
        <v>25.2</v>
      </c>
      <c r="J79">
        <f t="shared" si="4"/>
        <v>75.012</v>
      </c>
      <c r="K79">
        <f t="shared" si="5"/>
        <v>2250.36</v>
      </c>
    </row>
    <row r="80" spans="1:11" x14ac:dyDescent="0.25">
      <c r="A80" s="1">
        <v>79</v>
      </c>
      <c r="B80" s="2" t="s">
        <v>151</v>
      </c>
      <c r="C80" s="2" t="s">
        <v>143</v>
      </c>
      <c r="D80" s="2">
        <v>87089900</v>
      </c>
      <c r="E80" s="2">
        <v>870899</v>
      </c>
      <c r="F80" s="2" t="s">
        <v>226</v>
      </c>
      <c r="G80" s="2">
        <v>360</v>
      </c>
      <c r="H80" s="1">
        <v>4.71</v>
      </c>
      <c r="I80" s="3">
        <f t="shared" si="3"/>
        <v>1695.6</v>
      </c>
      <c r="J80">
        <f t="shared" si="4"/>
        <v>420.60300000000001</v>
      </c>
      <c r="K80">
        <f t="shared" si="5"/>
        <v>151417.08000000002</v>
      </c>
    </row>
    <row r="81" spans="1:11" x14ac:dyDescent="0.25">
      <c r="A81" s="1">
        <v>80</v>
      </c>
      <c r="B81" s="2" t="s">
        <v>152</v>
      </c>
      <c r="C81" s="2" t="s">
        <v>153</v>
      </c>
      <c r="D81" s="2">
        <v>40161000</v>
      </c>
      <c r="E81" s="2">
        <v>401699</v>
      </c>
      <c r="F81" s="2" t="s">
        <v>226</v>
      </c>
      <c r="G81" s="2">
        <v>900</v>
      </c>
      <c r="H81" s="1">
        <v>0.96</v>
      </c>
      <c r="I81" s="3">
        <f t="shared" si="3"/>
        <v>864</v>
      </c>
      <c r="J81">
        <f t="shared" si="4"/>
        <v>85.727999999999994</v>
      </c>
      <c r="K81">
        <f t="shared" si="5"/>
        <v>77155.199999999997</v>
      </c>
    </row>
    <row r="82" spans="1:11" x14ac:dyDescent="0.25">
      <c r="A82" s="1">
        <v>81</v>
      </c>
      <c r="B82" s="2" t="s">
        <v>154</v>
      </c>
      <c r="C82" s="2" t="s">
        <v>32</v>
      </c>
      <c r="D82" s="2">
        <v>87141090</v>
      </c>
      <c r="E82" s="2">
        <v>841499</v>
      </c>
      <c r="F82" s="2" t="s">
        <v>226</v>
      </c>
      <c r="G82" s="2">
        <v>24</v>
      </c>
      <c r="H82" s="1">
        <v>2.76</v>
      </c>
      <c r="I82" s="3">
        <f t="shared" si="3"/>
        <v>66.239999999999995</v>
      </c>
      <c r="J82">
        <f t="shared" si="4"/>
        <v>246.46799999999996</v>
      </c>
      <c r="K82">
        <f t="shared" si="5"/>
        <v>5915.2319999999991</v>
      </c>
    </row>
    <row r="83" spans="1:11" x14ac:dyDescent="0.25">
      <c r="A83" s="1">
        <v>82</v>
      </c>
      <c r="B83" s="2" t="s">
        <v>155</v>
      </c>
      <c r="C83" s="2" t="s">
        <v>58</v>
      </c>
      <c r="D83" s="2">
        <v>87089900</v>
      </c>
      <c r="E83" s="2">
        <v>870899</v>
      </c>
      <c r="F83" s="2" t="s">
        <v>226</v>
      </c>
      <c r="G83" s="2">
        <v>30</v>
      </c>
      <c r="H83" s="1">
        <v>0.7</v>
      </c>
      <c r="I83" s="3">
        <f t="shared" si="3"/>
        <v>21</v>
      </c>
      <c r="J83">
        <f t="shared" si="4"/>
        <v>62.509999999999991</v>
      </c>
      <c r="K83">
        <f t="shared" si="5"/>
        <v>1875.2999999999997</v>
      </c>
    </row>
    <row r="84" spans="1:11" x14ac:dyDescent="0.25">
      <c r="A84" s="1">
        <v>83</v>
      </c>
      <c r="B84" s="2" t="s">
        <v>156</v>
      </c>
      <c r="C84" s="2" t="s">
        <v>58</v>
      </c>
      <c r="D84" s="2">
        <v>87089900</v>
      </c>
      <c r="E84" s="2">
        <v>870899</v>
      </c>
      <c r="F84" s="2" t="s">
        <v>226</v>
      </c>
      <c r="G84" s="2">
        <v>30</v>
      </c>
      <c r="H84" s="1">
        <v>0.7</v>
      </c>
      <c r="I84" s="3">
        <f t="shared" si="3"/>
        <v>21</v>
      </c>
      <c r="J84">
        <f t="shared" si="4"/>
        <v>62.509999999999991</v>
      </c>
      <c r="K84">
        <f t="shared" si="5"/>
        <v>1875.2999999999997</v>
      </c>
    </row>
    <row r="85" spans="1:11" x14ac:dyDescent="0.25">
      <c r="A85" s="1">
        <v>84</v>
      </c>
      <c r="B85" s="2" t="s">
        <v>157</v>
      </c>
      <c r="C85" s="2" t="s">
        <v>158</v>
      </c>
      <c r="D85" s="2">
        <v>87089900</v>
      </c>
      <c r="E85" s="2">
        <v>870899</v>
      </c>
      <c r="F85" s="2" t="s">
        <v>226</v>
      </c>
      <c r="G85" s="2">
        <v>20</v>
      </c>
      <c r="H85" s="1">
        <v>2.84</v>
      </c>
      <c r="I85" s="3">
        <f t="shared" si="3"/>
        <v>56.8</v>
      </c>
      <c r="J85">
        <f t="shared" si="4"/>
        <v>253.61199999999997</v>
      </c>
      <c r="K85">
        <f t="shared" si="5"/>
        <v>5072.24</v>
      </c>
    </row>
    <row r="86" spans="1:11" x14ac:dyDescent="0.25">
      <c r="A86" s="1">
        <v>85</v>
      </c>
      <c r="B86" s="2" t="s">
        <v>159</v>
      </c>
      <c r="C86" s="2" t="s">
        <v>160</v>
      </c>
      <c r="D86" s="2">
        <v>87141090</v>
      </c>
      <c r="E86" s="2">
        <v>841499</v>
      </c>
      <c r="F86" s="2" t="s">
        <v>226</v>
      </c>
      <c r="G86" s="2">
        <v>66</v>
      </c>
      <c r="H86" s="1">
        <v>4.75</v>
      </c>
      <c r="I86" s="3">
        <f t="shared" si="3"/>
        <v>313.5</v>
      </c>
      <c r="J86">
        <f t="shared" si="4"/>
        <v>424.17500000000001</v>
      </c>
      <c r="K86">
        <f t="shared" si="5"/>
        <v>27995.55</v>
      </c>
    </row>
    <row r="87" spans="1:11" x14ac:dyDescent="0.25">
      <c r="A87" s="1">
        <v>86</v>
      </c>
      <c r="B87" s="2" t="s">
        <v>161</v>
      </c>
      <c r="C87" s="2" t="s">
        <v>160</v>
      </c>
      <c r="D87" s="2">
        <v>87141090</v>
      </c>
      <c r="E87" s="2">
        <v>841499</v>
      </c>
      <c r="F87" s="2" t="s">
        <v>226</v>
      </c>
      <c r="G87" s="2">
        <v>66</v>
      </c>
      <c r="H87" s="1">
        <v>4.75</v>
      </c>
      <c r="I87" s="3">
        <f t="shared" si="3"/>
        <v>313.5</v>
      </c>
      <c r="J87">
        <f t="shared" si="4"/>
        <v>424.17500000000001</v>
      </c>
      <c r="K87">
        <f t="shared" si="5"/>
        <v>27995.55</v>
      </c>
    </row>
    <row r="88" spans="1:11" x14ac:dyDescent="0.25">
      <c r="A88" s="1">
        <v>87</v>
      </c>
      <c r="B88" s="2" t="s">
        <v>162</v>
      </c>
      <c r="C88" s="2" t="s">
        <v>163</v>
      </c>
      <c r="D88" s="2">
        <v>87089900</v>
      </c>
      <c r="E88" s="2">
        <v>870899</v>
      </c>
      <c r="F88" s="2" t="s">
        <v>226</v>
      </c>
      <c r="G88" s="2">
        <v>128</v>
      </c>
      <c r="H88" s="1">
        <v>3.74</v>
      </c>
      <c r="I88" s="3">
        <f t="shared" si="3"/>
        <v>478.72</v>
      </c>
      <c r="J88">
        <f t="shared" si="4"/>
        <v>333.98200000000003</v>
      </c>
      <c r="K88">
        <f t="shared" si="5"/>
        <v>42749.696000000004</v>
      </c>
    </row>
    <row r="89" spans="1:11" x14ac:dyDescent="0.25">
      <c r="A89" s="1">
        <v>88</v>
      </c>
      <c r="B89" s="2" t="s">
        <v>164</v>
      </c>
      <c r="C89" s="2" t="s">
        <v>165</v>
      </c>
      <c r="D89" s="2">
        <v>87089900</v>
      </c>
      <c r="E89" s="2">
        <v>870899</v>
      </c>
      <c r="F89" s="2" t="s">
        <v>226</v>
      </c>
      <c r="G89" s="2">
        <v>160</v>
      </c>
      <c r="H89" s="1">
        <v>4.8099999999999996</v>
      </c>
      <c r="I89" s="3">
        <f t="shared" si="3"/>
        <v>769.59999999999991</v>
      </c>
      <c r="J89">
        <f t="shared" si="4"/>
        <v>429.53299999999996</v>
      </c>
      <c r="K89">
        <f t="shared" si="5"/>
        <v>68725.279999999999</v>
      </c>
    </row>
    <row r="90" spans="1:11" x14ac:dyDescent="0.25">
      <c r="A90" s="1">
        <v>89</v>
      </c>
      <c r="B90" s="2" t="s">
        <v>166</v>
      </c>
      <c r="C90" s="2" t="s">
        <v>58</v>
      </c>
      <c r="D90" s="2">
        <v>87089900</v>
      </c>
      <c r="E90" s="2">
        <v>870899</v>
      </c>
      <c r="F90" s="2" t="s">
        <v>226</v>
      </c>
      <c r="G90" s="2">
        <v>6</v>
      </c>
      <c r="H90" s="1">
        <v>1.29</v>
      </c>
      <c r="I90" s="3">
        <f t="shared" si="3"/>
        <v>7.74</v>
      </c>
      <c r="J90">
        <f t="shared" si="4"/>
        <v>115.197</v>
      </c>
      <c r="K90">
        <f t="shared" si="5"/>
        <v>691.18200000000002</v>
      </c>
    </row>
    <row r="91" spans="1:11" x14ac:dyDescent="0.25">
      <c r="A91" s="1">
        <v>90</v>
      </c>
      <c r="B91" s="2" t="s">
        <v>167</v>
      </c>
      <c r="C91" s="2" t="s">
        <v>58</v>
      </c>
      <c r="D91" s="2">
        <v>87089900</v>
      </c>
      <c r="E91" s="2">
        <v>870899</v>
      </c>
      <c r="F91" s="2" t="s">
        <v>226</v>
      </c>
      <c r="G91" s="2">
        <v>6</v>
      </c>
      <c r="H91" s="1">
        <v>1.29</v>
      </c>
      <c r="I91" s="3">
        <f t="shared" si="3"/>
        <v>7.74</v>
      </c>
      <c r="J91">
        <f t="shared" si="4"/>
        <v>115.197</v>
      </c>
      <c r="K91">
        <f t="shared" si="5"/>
        <v>691.18200000000002</v>
      </c>
    </row>
    <row r="92" spans="1:11" x14ac:dyDescent="0.25">
      <c r="A92" s="1">
        <v>91</v>
      </c>
      <c r="B92" s="2" t="s">
        <v>168</v>
      </c>
      <c r="C92" s="2" t="s">
        <v>120</v>
      </c>
      <c r="D92" s="2">
        <v>87081090</v>
      </c>
      <c r="E92" s="2">
        <v>870899</v>
      </c>
      <c r="F92" s="2" t="s">
        <v>226</v>
      </c>
      <c r="G92" s="2">
        <v>120</v>
      </c>
      <c r="H92" s="1">
        <v>1.42</v>
      </c>
      <c r="I92" s="3">
        <f t="shared" si="3"/>
        <v>170.39999999999998</v>
      </c>
      <c r="J92">
        <f t="shared" si="4"/>
        <v>126.80599999999998</v>
      </c>
      <c r="K92">
        <f t="shared" si="5"/>
        <v>15216.719999999998</v>
      </c>
    </row>
    <row r="93" spans="1:11" x14ac:dyDescent="0.25">
      <c r="A93" s="1">
        <v>92</v>
      </c>
      <c r="B93" s="2" t="s">
        <v>169</v>
      </c>
      <c r="C93" s="2" t="s">
        <v>170</v>
      </c>
      <c r="D93" s="2">
        <v>87089900</v>
      </c>
      <c r="E93" s="2">
        <v>870899</v>
      </c>
      <c r="F93" s="2" t="s">
        <v>226</v>
      </c>
      <c r="G93" s="2">
        <v>100</v>
      </c>
      <c r="H93" s="1">
        <v>0.59</v>
      </c>
      <c r="I93" s="3">
        <f t="shared" si="3"/>
        <v>59</v>
      </c>
      <c r="J93">
        <f t="shared" si="4"/>
        <v>52.686999999999998</v>
      </c>
      <c r="K93">
        <f t="shared" si="5"/>
        <v>5268.7</v>
      </c>
    </row>
    <row r="94" spans="1:11" x14ac:dyDescent="0.25">
      <c r="A94" s="1">
        <v>93</v>
      </c>
      <c r="B94" s="2" t="s">
        <v>171</v>
      </c>
      <c r="C94" s="2" t="s">
        <v>170</v>
      </c>
      <c r="D94" s="2">
        <v>87089900</v>
      </c>
      <c r="E94" s="2">
        <v>870899</v>
      </c>
      <c r="F94" s="2" t="s">
        <v>226</v>
      </c>
      <c r="G94" s="2">
        <v>100</v>
      </c>
      <c r="H94" s="1">
        <v>0.67</v>
      </c>
      <c r="I94" s="3">
        <f t="shared" si="3"/>
        <v>67</v>
      </c>
      <c r="J94">
        <f t="shared" si="4"/>
        <v>59.831000000000003</v>
      </c>
      <c r="K94">
        <f t="shared" si="5"/>
        <v>5983.1</v>
      </c>
    </row>
    <row r="95" spans="1:11" x14ac:dyDescent="0.25">
      <c r="A95" s="1">
        <v>94</v>
      </c>
      <c r="B95" s="2" t="s">
        <v>172</v>
      </c>
      <c r="C95" s="2" t="s">
        <v>58</v>
      </c>
      <c r="D95" s="2">
        <v>87089900</v>
      </c>
      <c r="E95" s="2">
        <v>870899</v>
      </c>
      <c r="F95" s="2" t="s">
        <v>226</v>
      </c>
      <c r="G95" s="2">
        <v>12</v>
      </c>
      <c r="H95" s="1">
        <v>0.66</v>
      </c>
      <c r="I95" s="3">
        <f t="shared" si="3"/>
        <v>7.92</v>
      </c>
      <c r="J95">
        <f t="shared" si="4"/>
        <v>58.938000000000002</v>
      </c>
      <c r="K95">
        <f t="shared" si="5"/>
        <v>707.25600000000009</v>
      </c>
    </row>
    <row r="96" spans="1:11" x14ac:dyDescent="0.25">
      <c r="A96" s="1">
        <v>95</v>
      </c>
      <c r="B96" s="2" t="s">
        <v>173</v>
      </c>
      <c r="C96" s="2" t="s">
        <v>170</v>
      </c>
      <c r="D96" s="2">
        <v>87089900</v>
      </c>
      <c r="E96" s="2">
        <v>870899</v>
      </c>
      <c r="F96" s="2" t="s">
        <v>226</v>
      </c>
      <c r="G96" s="2">
        <v>400</v>
      </c>
      <c r="H96" s="1">
        <v>0.26</v>
      </c>
      <c r="I96" s="3">
        <f t="shared" si="3"/>
        <v>104</v>
      </c>
      <c r="J96">
        <f t="shared" si="4"/>
        <v>23.218</v>
      </c>
      <c r="K96">
        <f t="shared" si="5"/>
        <v>9287.2000000000007</v>
      </c>
    </row>
    <row r="97" spans="1:11" ht="30" x14ac:dyDescent="0.25">
      <c r="A97" s="1">
        <v>96</v>
      </c>
      <c r="B97" s="2" t="s">
        <v>174</v>
      </c>
      <c r="C97" s="2" t="s">
        <v>175</v>
      </c>
      <c r="D97" s="2">
        <v>87089900</v>
      </c>
      <c r="E97" s="2">
        <v>870899</v>
      </c>
      <c r="F97" s="2" t="s">
        <v>226</v>
      </c>
      <c r="G97" s="2">
        <v>102</v>
      </c>
      <c r="H97" s="1">
        <v>2.52</v>
      </c>
      <c r="I97" s="3">
        <f t="shared" si="3"/>
        <v>257.04000000000002</v>
      </c>
      <c r="J97">
        <f t="shared" si="4"/>
        <v>225.036</v>
      </c>
      <c r="K97">
        <f t="shared" si="5"/>
        <v>22953.671999999999</v>
      </c>
    </row>
    <row r="98" spans="1:11" x14ac:dyDescent="0.25">
      <c r="A98" s="1">
        <v>97</v>
      </c>
      <c r="B98" s="2" t="s">
        <v>176</v>
      </c>
      <c r="C98" s="2" t="s">
        <v>177</v>
      </c>
      <c r="D98" s="2">
        <v>87089900</v>
      </c>
      <c r="E98" s="2">
        <v>870899</v>
      </c>
      <c r="F98" s="2" t="s">
        <v>226</v>
      </c>
      <c r="G98" s="2">
        <v>34</v>
      </c>
      <c r="H98" s="1">
        <v>2.59</v>
      </c>
      <c r="I98" s="3">
        <f t="shared" si="3"/>
        <v>88.06</v>
      </c>
      <c r="J98">
        <f t="shared" si="4"/>
        <v>231.28699999999998</v>
      </c>
      <c r="K98">
        <f t="shared" si="5"/>
        <v>7863.7579999999989</v>
      </c>
    </row>
    <row r="99" spans="1:11" ht="30" x14ac:dyDescent="0.25">
      <c r="A99" s="1">
        <v>98</v>
      </c>
      <c r="B99" s="2" t="s">
        <v>178</v>
      </c>
      <c r="C99" s="2" t="s">
        <v>179</v>
      </c>
      <c r="D99" s="2">
        <v>87089900</v>
      </c>
      <c r="E99" s="2">
        <v>870899</v>
      </c>
      <c r="F99" s="2" t="s">
        <v>226</v>
      </c>
      <c r="G99" s="2">
        <v>60</v>
      </c>
      <c r="H99" s="1">
        <v>0.98</v>
      </c>
      <c r="I99" s="3">
        <f t="shared" si="3"/>
        <v>58.8</v>
      </c>
      <c r="J99">
        <f t="shared" si="4"/>
        <v>87.513999999999996</v>
      </c>
      <c r="K99">
        <f t="shared" si="5"/>
        <v>5250.84</v>
      </c>
    </row>
    <row r="100" spans="1:11" ht="30" x14ac:dyDescent="0.25">
      <c r="A100" s="1">
        <v>99</v>
      </c>
      <c r="B100" s="2" t="s">
        <v>180</v>
      </c>
      <c r="C100" s="2" t="s">
        <v>179</v>
      </c>
      <c r="D100" s="2">
        <v>87089900</v>
      </c>
      <c r="E100" s="2">
        <v>870899</v>
      </c>
      <c r="F100" s="2" t="s">
        <v>226</v>
      </c>
      <c r="G100" s="2">
        <v>60</v>
      </c>
      <c r="H100" s="1">
        <v>0.98</v>
      </c>
      <c r="I100" s="3">
        <f t="shared" si="3"/>
        <v>58.8</v>
      </c>
      <c r="J100">
        <f t="shared" si="4"/>
        <v>87.513999999999996</v>
      </c>
      <c r="K100">
        <f t="shared" si="5"/>
        <v>5250.84</v>
      </c>
    </row>
    <row r="101" spans="1:11" x14ac:dyDescent="0.25">
      <c r="A101" s="1">
        <v>100</v>
      </c>
      <c r="B101" s="2" t="s">
        <v>181</v>
      </c>
      <c r="C101" s="2" t="s">
        <v>58</v>
      </c>
      <c r="D101" s="2">
        <v>87089900</v>
      </c>
      <c r="E101" s="2">
        <v>870899</v>
      </c>
      <c r="F101" s="2" t="s">
        <v>226</v>
      </c>
      <c r="G101" s="2">
        <v>36</v>
      </c>
      <c r="H101" s="1">
        <v>10.34</v>
      </c>
      <c r="I101" s="3">
        <f t="shared" si="3"/>
        <v>372.24</v>
      </c>
      <c r="J101">
        <f>H101*$K$1</f>
        <v>923.36199999999997</v>
      </c>
      <c r="K101">
        <f t="shared" si="5"/>
        <v>33241.031999999999</v>
      </c>
    </row>
    <row r="102" spans="1:11" x14ac:dyDescent="0.25">
      <c r="A102" s="1">
        <v>101</v>
      </c>
      <c r="B102" s="2" t="s">
        <v>182</v>
      </c>
      <c r="C102" s="2" t="s">
        <v>58</v>
      </c>
      <c r="D102" s="2">
        <v>87089900</v>
      </c>
      <c r="E102" s="2">
        <v>870899</v>
      </c>
      <c r="F102" s="2" t="s">
        <v>226</v>
      </c>
      <c r="G102" s="2">
        <v>36</v>
      </c>
      <c r="H102" s="1">
        <v>10.06</v>
      </c>
      <c r="I102" s="3">
        <f t="shared" si="3"/>
        <v>362.16</v>
      </c>
      <c r="J102">
        <f t="shared" si="4"/>
        <v>898.35800000000006</v>
      </c>
      <c r="K102">
        <f t="shared" si="5"/>
        <v>32340.888000000003</v>
      </c>
    </row>
    <row r="103" spans="1:11" x14ac:dyDescent="0.25">
      <c r="A103" s="1">
        <v>102</v>
      </c>
      <c r="B103" s="2" t="s">
        <v>183</v>
      </c>
      <c r="C103" s="2" t="s">
        <v>184</v>
      </c>
      <c r="D103" s="2">
        <v>87089900</v>
      </c>
      <c r="E103" s="2">
        <v>870899</v>
      </c>
      <c r="F103" s="2" t="s">
        <v>226</v>
      </c>
      <c r="G103" s="2">
        <v>35</v>
      </c>
      <c r="H103" s="1">
        <v>0.64</v>
      </c>
      <c r="I103" s="3">
        <f t="shared" si="3"/>
        <v>22.400000000000002</v>
      </c>
      <c r="J103">
        <f t="shared" si="4"/>
        <v>57.152000000000001</v>
      </c>
      <c r="K103">
        <f t="shared" si="5"/>
        <v>2000.32</v>
      </c>
    </row>
    <row r="104" spans="1:11" x14ac:dyDescent="0.25">
      <c r="A104" s="1">
        <v>103</v>
      </c>
      <c r="B104" s="2" t="s">
        <v>185</v>
      </c>
      <c r="C104" s="2" t="s">
        <v>186</v>
      </c>
      <c r="D104" s="2">
        <v>70071100</v>
      </c>
      <c r="E104" s="2">
        <v>7007</v>
      </c>
      <c r="F104" s="2" t="s">
        <v>226</v>
      </c>
      <c r="G104" s="2">
        <v>32</v>
      </c>
      <c r="H104" s="1">
        <v>1.18</v>
      </c>
      <c r="I104" s="3">
        <f t="shared" si="3"/>
        <v>37.76</v>
      </c>
      <c r="J104">
        <f t="shared" si="4"/>
        <v>105.374</v>
      </c>
      <c r="K104">
        <f t="shared" si="5"/>
        <v>3371.9679999999998</v>
      </c>
    </row>
    <row r="105" spans="1:11" ht="30" x14ac:dyDescent="0.25">
      <c r="A105" s="1">
        <v>104</v>
      </c>
      <c r="B105" s="2" t="s">
        <v>187</v>
      </c>
      <c r="C105" s="2" t="s">
        <v>188</v>
      </c>
      <c r="D105" s="2">
        <v>87089900</v>
      </c>
      <c r="E105" s="2">
        <v>870899</v>
      </c>
      <c r="F105" s="2" t="s">
        <v>226</v>
      </c>
      <c r="G105" s="2">
        <v>40</v>
      </c>
      <c r="H105" s="1">
        <v>0.56999999999999995</v>
      </c>
      <c r="I105" s="3">
        <f t="shared" si="3"/>
        <v>22.799999999999997</v>
      </c>
      <c r="J105">
        <f t="shared" si="4"/>
        <v>50.900999999999996</v>
      </c>
      <c r="K105">
        <f t="shared" si="5"/>
        <v>2036.04</v>
      </c>
    </row>
    <row r="106" spans="1:11" x14ac:dyDescent="0.25">
      <c r="A106" s="1">
        <v>105</v>
      </c>
      <c r="B106" s="2" t="s">
        <v>189</v>
      </c>
      <c r="C106" s="2" t="s">
        <v>190</v>
      </c>
      <c r="D106" s="2">
        <v>87081090</v>
      </c>
      <c r="E106" s="2">
        <v>870899</v>
      </c>
      <c r="F106" s="2" t="s">
        <v>226</v>
      </c>
      <c r="G106" s="2">
        <v>60</v>
      </c>
      <c r="H106" s="1">
        <v>4.0599999999999996</v>
      </c>
      <c r="I106" s="3">
        <f t="shared" si="3"/>
        <v>243.59999999999997</v>
      </c>
      <c r="J106">
        <f t="shared" si="4"/>
        <v>362.55799999999994</v>
      </c>
      <c r="K106">
        <f t="shared" si="5"/>
        <v>21753.479999999996</v>
      </c>
    </row>
    <row r="107" spans="1:11" x14ac:dyDescent="0.25">
      <c r="A107" s="1">
        <v>106</v>
      </c>
      <c r="B107" s="2" t="s">
        <v>191</v>
      </c>
      <c r="C107" s="2" t="s">
        <v>190</v>
      </c>
      <c r="D107" s="2">
        <v>87081090</v>
      </c>
      <c r="E107" s="2">
        <v>870899</v>
      </c>
      <c r="F107" s="2" t="s">
        <v>226</v>
      </c>
      <c r="G107" s="2">
        <v>84</v>
      </c>
      <c r="H107" s="1">
        <v>4.0599999999999996</v>
      </c>
      <c r="I107" s="3">
        <f t="shared" si="3"/>
        <v>341.03999999999996</v>
      </c>
      <c r="J107">
        <f t="shared" si="4"/>
        <v>362.55799999999994</v>
      </c>
      <c r="K107">
        <f t="shared" si="5"/>
        <v>30454.871999999996</v>
      </c>
    </row>
    <row r="108" spans="1:11" x14ac:dyDescent="0.25">
      <c r="A108" s="1">
        <v>107</v>
      </c>
      <c r="B108" s="2" t="s">
        <v>192</v>
      </c>
      <c r="C108" s="2" t="s">
        <v>193</v>
      </c>
      <c r="D108" s="2">
        <v>87081090</v>
      </c>
      <c r="E108" s="2">
        <v>870899</v>
      </c>
      <c r="F108" s="2" t="s">
        <v>226</v>
      </c>
      <c r="G108" s="2">
        <v>196</v>
      </c>
      <c r="H108" s="1">
        <v>1.32</v>
      </c>
      <c r="I108" s="3">
        <f t="shared" si="3"/>
        <v>258.72000000000003</v>
      </c>
      <c r="J108">
        <f t="shared" si="4"/>
        <v>117.876</v>
      </c>
      <c r="K108">
        <f t="shared" si="5"/>
        <v>23103.696</v>
      </c>
    </row>
    <row r="109" spans="1:11" x14ac:dyDescent="0.25">
      <c r="A109" s="1">
        <v>108</v>
      </c>
      <c r="B109" s="2" t="s">
        <v>194</v>
      </c>
      <c r="C109" s="2" t="s">
        <v>195</v>
      </c>
      <c r="D109" s="2">
        <v>87089900</v>
      </c>
      <c r="E109" s="2">
        <v>870899</v>
      </c>
      <c r="F109" s="2" t="s">
        <v>226</v>
      </c>
      <c r="G109" s="2">
        <v>44</v>
      </c>
      <c r="H109" s="1">
        <v>2.11</v>
      </c>
      <c r="I109" s="3">
        <f t="shared" si="3"/>
        <v>92.839999999999989</v>
      </c>
      <c r="J109">
        <f t="shared" si="4"/>
        <v>188.42299999999997</v>
      </c>
      <c r="K109">
        <f t="shared" si="5"/>
        <v>8290.6119999999992</v>
      </c>
    </row>
    <row r="110" spans="1:11" ht="30" x14ac:dyDescent="0.25">
      <c r="A110" s="1">
        <v>109</v>
      </c>
      <c r="B110" s="2" t="s">
        <v>196</v>
      </c>
      <c r="C110" s="2" t="s">
        <v>197</v>
      </c>
      <c r="D110" s="2">
        <v>87089900</v>
      </c>
      <c r="E110" s="2">
        <v>870899</v>
      </c>
      <c r="F110" s="2" t="s">
        <v>226</v>
      </c>
      <c r="G110" s="2">
        <v>10</v>
      </c>
      <c r="H110" s="1">
        <v>8.4499999999999993</v>
      </c>
      <c r="I110" s="3">
        <f t="shared" si="3"/>
        <v>84.5</v>
      </c>
      <c r="J110">
        <f t="shared" si="4"/>
        <v>754.58499999999992</v>
      </c>
      <c r="K110">
        <f t="shared" si="5"/>
        <v>7545.8499999999995</v>
      </c>
    </row>
    <row r="111" spans="1:11" ht="30" x14ac:dyDescent="0.25">
      <c r="A111" s="1">
        <v>110</v>
      </c>
      <c r="B111" s="2" t="s">
        <v>198</v>
      </c>
      <c r="C111" s="2" t="s">
        <v>199</v>
      </c>
      <c r="D111" s="2">
        <v>87089900</v>
      </c>
      <c r="E111" s="2">
        <v>0</v>
      </c>
      <c r="F111" s="2" t="s">
        <v>227</v>
      </c>
      <c r="G111" s="2">
        <v>30</v>
      </c>
      <c r="H111" s="1">
        <v>75.59</v>
      </c>
      <c r="I111" s="3">
        <f t="shared" si="3"/>
        <v>2267.7000000000003</v>
      </c>
      <c r="J111">
        <f t="shared" si="4"/>
        <v>6750.1869999999999</v>
      </c>
      <c r="K111">
        <f t="shared" si="5"/>
        <v>202505.61</v>
      </c>
    </row>
    <row r="112" spans="1:11" x14ac:dyDescent="0.25">
      <c r="A112" s="1">
        <v>111</v>
      </c>
      <c r="B112" s="2" t="s">
        <v>200</v>
      </c>
      <c r="C112" s="2" t="s">
        <v>201</v>
      </c>
      <c r="D112" s="2">
        <v>87089900</v>
      </c>
      <c r="E112" s="2">
        <v>0</v>
      </c>
      <c r="F112" s="2" t="s">
        <v>228</v>
      </c>
      <c r="G112" s="2">
        <v>350</v>
      </c>
      <c r="H112" s="1">
        <v>0.45</v>
      </c>
      <c r="I112" s="3">
        <f t="shared" si="3"/>
        <v>157.5</v>
      </c>
      <c r="J112">
        <f t="shared" si="4"/>
        <v>40.185000000000002</v>
      </c>
      <c r="K112">
        <f t="shared" si="5"/>
        <v>14064.75</v>
      </c>
    </row>
    <row r="113" spans="1:11" x14ac:dyDescent="0.25">
      <c r="A113" s="1">
        <v>112</v>
      </c>
      <c r="B113" s="2" t="s">
        <v>202</v>
      </c>
      <c r="C113" s="2" t="s">
        <v>203</v>
      </c>
      <c r="D113" s="2">
        <v>87089900</v>
      </c>
      <c r="E113" s="2">
        <v>0</v>
      </c>
      <c r="F113" s="2" t="s">
        <v>227</v>
      </c>
      <c r="G113" s="2">
        <v>30</v>
      </c>
      <c r="H113" s="1">
        <v>2.3199999999999998</v>
      </c>
      <c r="I113" s="3">
        <f t="shared" si="3"/>
        <v>69.599999999999994</v>
      </c>
      <c r="J113">
        <f t="shared" si="4"/>
        <v>207.17599999999999</v>
      </c>
      <c r="K113">
        <f t="shared" si="5"/>
        <v>6215.28</v>
      </c>
    </row>
    <row r="114" spans="1:11" x14ac:dyDescent="0.25">
      <c r="A114" s="1">
        <v>113</v>
      </c>
      <c r="B114" s="2" t="s">
        <v>204</v>
      </c>
      <c r="C114" s="2" t="s">
        <v>205</v>
      </c>
      <c r="D114" s="2">
        <v>85129000</v>
      </c>
      <c r="E114" s="2">
        <v>0</v>
      </c>
      <c r="F114" s="2" t="s">
        <v>227</v>
      </c>
      <c r="G114" s="2">
        <v>30</v>
      </c>
      <c r="H114" s="1">
        <v>5.28</v>
      </c>
      <c r="I114" s="3">
        <f t="shared" si="3"/>
        <v>158.4</v>
      </c>
      <c r="J114">
        <f t="shared" si="4"/>
        <v>471.50400000000002</v>
      </c>
      <c r="K114">
        <f t="shared" si="5"/>
        <v>14145.12</v>
      </c>
    </row>
    <row r="115" spans="1:11" x14ac:dyDescent="0.25">
      <c r="A115" s="1">
        <v>114</v>
      </c>
      <c r="B115" s="2" t="s">
        <v>17</v>
      </c>
      <c r="C115" s="2" t="s">
        <v>206</v>
      </c>
      <c r="D115" s="2">
        <v>85182100</v>
      </c>
      <c r="E115" s="2">
        <v>0</v>
      </c>
      <c r="F115" s="2" t="s">
        <v>229</v>
      </c>
      <c r="G115" s="2">
        <v>18</v>
      </c>
      <c r="H115" s="1">
        <v>3.79</v>
      </c>
      <c r="I115" s="3">
        <f t="shared" si="3"/>
        <v>68.22</v>
      </c>
      <c r="J115">
        <f t="shared" si="4"/>
        <v>338.447</v>
      </c>
      <c r="K115">
        <f t="shared" si="5"/>
        <v>6092.0460000000003</v>
      </c>
    </row>
    <row r="116" spans="1:11" ht="45" x14ac:dyDescent="0.25">
      <c r="A116" s="1">
        <v>115</v>
      </c>
      <c r="B116" s="2" t="s">
        <v>207</v>
      </c>
      <c r="C116" s="2" t="s">
        <v>208</v>
      </c>
      <c r="D116" s="2">
        <v>73181190</v>
      </c>
      <c r="E116" s="2">
        <v>0</v>
      </c>
      <c r="F116" s="2" t="s">
        <v>228</v>
      </c>
      <c r="G116" s="2">
        <v>200</v>
      </c>
      <c r="H116" s="1">
        <v>0.17</v>
      </c>
      <c r="I116" s="3">
        <f t="shared" si="3"/>
        <v>34</v>
      </c>
      <c r="J116">
        <f t="shared" si="4"/>
        <v>15.181000000000001</v>
      </c>
      <c r="K116">
        <f t="shared" si="5"/>
        <v>3036.2000000000003</v>
      </c>
    </row>
    <row r="117" spans="1:11" x14ac:dyDescent="0.25">
      <c r="A117" s="1">
        <v>116</v>
      </c>
      <c r="B117" s="2" t="s">
        <v>209</v>
      </c>
      <c r="C117" s="2" t="s">
        <v>210</v>
      </c>
      <c r="D117" s="2">
        <v>87089900</v>
      </c>
      <c r="E117" s="2">
        <v>0</v>
      </c>
      <c r="F117" s="2" t="s">
        <v>227</v>
      </c>
      <c r="G117" s="2">
        <v>50</v>
      </c>
      <c r="H117" s="1">
        <v>2.8</v>
      </c>
      <c r="I117" s="3">
        <f t="shared" si="3"/>
        <v>140</v>
      </c>
      <c r="J117">
        <f t="shared" si="4"/>
        <v>250.03999999999996</v>
      </c>
      <c r="K117">
        <f t="shared" si="5"/>
        <v>12501.999999999998</v>
      </c>
    </row>
    <row r="118" spans="1:11" x14ac:dyDescent="0.25">
      <c r="A118" s="1">
        <v>117</v>
      </c>
      <c r="B118" s="2" t="s">
        <v>211</v>
      </c>
      <c r="C118" s="2" t="s">
        <v>212</v>
      </c>
      <c r="D118" s="2">
        <v>87089900</v>
      </c>
      <c r="E118" s="2">
        <v>0</v>
      </c>
      <c r="F118" s="2" t="s">
        <v>230</v>
      </c>
      <c r="G118" s="2">
        <v>60</v>
      </c>
      <c r="H118" s="1">
        <v>3.65</v>
      </c>
      <c r="I118" s="3">
        <f t="shared" si="3"/>
        <v>219</v>
      </c>
      <c r="J118">
        <f t="shared" si="4"/>
        <v>325.94499999999999</v>
      </c>
      <c r="K118">
        <f t="shared" si="5"/>
        <v>19556.7</v>
      </c>
    </row>
    <row r="119" spans="1:11" x14ac:dyDescent="0.25">
      <c r="A119" s="1">
        <v>118</v>
      </c>
      <c r="B119" s="2" t="s">
        <v>213</v>
      </c>
      <c r="C119" s="2" t="s">
        <v>214</v>
      </c>
      <c r="D119" s="2">
        <v>87089900</v>
      </c>
      <c r="E119" s="2">
        <v>0</v>
      </c>
      <c r="F119" s="2" t="s">
        <v>230</v>
      </c>
      <c r="G119" s="2">
        <v>60</v>
      </c>
      <c r="H119" s="1">
        <v>1.45</v>
      </c>
      <c r="I119" s="3">
        <f t="shared" si="3"/>
        <v>87</v>
      </c>
      <c r="J119">
        <f t="shared" si="4"/>
        <v>129.48499999999999</v>
      </c>
      <c r="K119">
        <f t="shared" si="5"/>
        <v>7769.0999999999995</v>
      </c>
    </row>
    <row r="120" spans="1:11" x14ac:dyDescent="0.25">
      <c r="A120" s="1">
        <v>119</v>
      </c>
      <c r="B120" s="2" t="s">
        <v>215</v>
      </c>
      <c r="C120" s="2" t="s">
        <v>216</v>
      </c>
      <c r="D120" s="2">
        <v>87089900</v>
      </c>
      <c r="E120" s="2">
        <v>0</v>
      </c>
      <c r="F120" s="2" t="s">
        <v>226</v>
      </c>
      <c r="G120" s="2">
        <v>110</v>
      </c>
      <c r="H120" s="1">
        <v>7.0000000000000007E-2</v>
      </c>
      <c r="I120" s="3">
        <f t="shared" si="3"/>
        <v>7.7000000000000011</v>
      </c>
      <c r="J120">
        <f t="shared" si="4"/>
        <v>6.2510000000000003</v>
      </c>
      <c r="K120">
        <f t="shared" si="5"/>
        <v>687.61</v>
      </c>
    </row>
    <row r="121" spans="1:11" x14ac:dyDescent="0.25">
      <c r="A121" s="1">
        <v>120</v>
      </c>
      <c r="B121" s="2" t="s">
        <v>217</v>
      </c>
      <c r="C121" s="2" t="s">
        <v>218</v>
      </c>
      <c r="D121" s="2">
        <v>39199090</v>
      </c>
      <c r="E121" s="2">
        <v>3919</v>
      </c>
      <c r="F121" s="2" t="s">
        <v>226</v>
      </c>
      <c r="G121" s="2">
        <v>1000</v>
      </c>
      <c r="H121" s="1">
        <v>0.06</v>
      </c>
      <c r="I121" s="3">
        <f t="shared" si="3"/>
        <v>60</v>
      </c>
      <c r="J121">
        <f t="shared" si="4"/>
        <v>5.3579999999999997</v>
      </c>
      <c r="K121">
        <f t="shared" si="5"/>
        <v>5358</v>
      </c>
    </row>
    <row r="122" spans="1:11" x14ac:dyDescent="0.25">
      <c r="A122" s="1">
        <v>121</v>
      </c>
      <c r="B122" s="2" t="s">
        <v>219</v>
      </c>
      <c r="C122" s="2" t="s">
        <v>220</v>
      </c>
      <c r="D122" s="2">
        <v>87089900</v>
      </c>
      <c r="E122" s="2">
        <v>870899</v>
      </c>
      <c r="F122" s="2" t="s">
        <v>226</v>
      </c>
      <c r="G122" s="2">
        <v>12</v>
      </c>
      <c r="H122" s="1">
        <v>3.71</v>
      </c>
      <c r="I122" s="3">
        <f t="shared" si="3"/>
        <v>44.519999999999996</v>
      </c>
      <c r="J122">
        <f t="shared" si="4"/>
        <v>331.303</v>
      </c>
      <c r="K122">
        <f t="shared" si="5"/>
        <v>3975.636</v>
      </c>
    </row>
    <row r="123" spans="1:11" x14ac:dyDescent="0.25">
      <c r="A123" s="1">
        <v>122</v>
      </c>
      <c r="B123" s="2" t="s">
        <v>221</v>
      </c>
      <c r="C123" s="2" t="s">
        <v>222</v>
      </c>
      <c r="D123" s="2">
        <v>87089900</v>
      </c>
      <c r="E123" s="2">
        <v>870899</v>
      </c>
      <c r="F123" s="2" t="s">
        <v>226</v>
      </c>
      <c r="G123" s="2">
        <v>75</v>
      </c>
      <c r="H123" s="1">
        <v>0.3</v>
      </c>
      <c r="I123" s="3">
        <f t="shared" si="3"/>
        <v>22.5</v>
      </c>
      <c r="J123">
        <f t="shared" si="4"/>
        <v>26.79</v>
      </c>
      <c r="K123">
        <f t="shared" si="5"/>
        <v>2009.25</v>
      </c>
    </row>
    <row r="124" spans="1:11" x14ac:dyDescent="0.25">
      <c r="A124" s="1">
        <v>123</v>
      </c>
      <c r="B124" s="2" t="s">
        <v>223</v>
      </c>
      <c r="C124" s="2" t="s">
        <v>222</v>
      </c>
      <c r="D124" s="2">
        <v>87089900</v>
      </c>
      <c r="E124" s="2">
        <v>870899</v>
      </c>
      <c r="F124" s="2" t="s">
        <v>226</v>
      </c>
      <c r="G124" s="2">
        <v>56</v>
      </c>
      <c r="H124" s="1">
        <v>0.41</v>
      </c>
      <c r="I124" s="3">
        <f t="shared" si="3"/>
        <v>22.959999999999997</v>
      </c>
      <c r="J124">
        <f t="shared" si="4"/>
        <v>36.613</v>
      </c>
      <c r="K124">
        <f t="shared" si="5"/>
        <v>2050.328</v>
      </c>
    </row>
    <row r="125" spans="1:11" x14ac:dyDescent="0.25">
      <c r="A125" s="1">
        <v>124</v>
      </c>
      <c r="B125" s="2" t="s">
        <v>224</v>
      </c>
      <c r="C125" s="2" t="s">
        <v>222</v>
      </c>
      <c r="D125" s="2">
        <v>87089900</v>
      </c>
      <c r="E125" s="2">
        <v>870899</v>
      </c>
      <c r="F125" s="2" t="s">
        <v>226</v>
      </c>
      <c r="G125" s="2">
        <v>56</v>
      </c>
      <c r="H125" s="1">
        <v>0.51</v>
      </c>
      <c r="I125" s="3">
        <f t="shared" si="3"/>
        <v>28.560000000000002</v>
      </c>
      <c r="J125">
        <f t="shared" si="4"/>
        <v>45.542999999999999</v>
      </c>
      <c r="K125">
        <f t="shared" si="5"/>
        <v>2550.4079999999999</v>
      </c>
    </row>
    <row r="126" spans="1:11" x14ac:dyDescent="0.25">
      <c r="A126" s="1">
        <v>125</v>
      </c>
      <c r="B126" s="2" t="s">
        <v>225</v>
      </c>
      <c r="C126" s="2" t="s">
        <v>222</v>
      </c>
      <c r="D126" s="2">
        <v>87089900</v>
      </c>
      <c r="E126" s="2">
        <v>870899</v>
      </c>
      <c r="F126" s="2" t="s">
        <v>226</v>
      </c>
      <c r="G126" s="2">
        <v>75</v>
      </c>
      <c r="H126" s="1">
        <v>0.3</v>
      </c>
      <c r="I126" s="3">
        <f t="shared" si="3"/>
        <v>22.5</v>
      </c>
      <c r="J126">
        <f t="shared" si="4"/>
        <v>26.79</v>
      </c>
      <c r="K126">
        <f t="shared" si="5"/>
        <v>2009.25</v>
      </c>
    </row>
    <row r="127" spans="1:11" x14ac:dyDescent="0.25">
      <c r="G127" s="4">
        <f>SUM(G2:G126)</f>
        <v>17692</v>
      </c>
      <c r="H127" s="4">
        <f>SUM(H2:H126)</f>
        <v>718.95999999999981</v>
      </c>
      <c r="I127" s="4">
        <f>SUM(I2:I126)</f>
        <v>36184.14999999998</v>
      </c>
    </row>
    <row r="128" spans="1:11" x14ac:dyDescent="0.25">
      <c r="C128" t="s">
        <v>8</v>
      </c>
      <c r="I128" s="6">
        <v>4391.22</v>
      </c>
      <c r="J128">
        <f>I128*$K$1</f>
        <v>392135.946</v>
      </c>
    </row>
    <row r="129" spans="3:10" x14ac:dyDescent="0.25">
      <c r="C129" t="s">
        <v>9</v>
      </c>
      <c r="I129">
        <v>245</v>
      </c>
      <c r="J129">
        <f t="shared" ref="J129:J130" si="6">I129*$K$1</f>
        <v>21878.5</v>
      </c>
    </row>
    <row r="130" spans="3:10" x14ac:dyDescent="0.25">
      <c r="C130" t="s">
        <v>10</v>
      </c>
      <c r="I130">
        <v>1217</v>
      </c>
      <c r="J130">
        <f t="shared" si="6"/>
        <v>108678.09999999999</v>
      </c>
    </row>
    <row r="131" spans="3:10" x14ac:dyDescent="0.25">
      <c r="H131" s="4">
        <f>I131-I130</f>
        <v>40820.369999999981</v>
      </c>
      <c r="I131" s="4">
        <f>SUM(I127:I130)</f>
        <v>42037.369999999981</v>
      </c>
    </row>
    <row r="133" spans="3:10" x14ac:dyDescent="0.25">
      <c r="I133" s="5"/>
    </row>
    <row r="134" spans="3:10" x14ac:dyDescent="0.25">
      <c r="I134" s="5"/>
    </row>
  </sheetData>
  <pageMargins left="0.7" right="0.7" top="0.75" bottom="0.75" header="0.3" footer="0.3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40676C4ED8C144BD94E9F311925F36" ma:contentTypeVersion="16" ma:contentTypeDescription="Create a new document." ma:contentTypeScope="" ma:versionID="3dc481033fe2c91d8ed20b997d631bf0">
  <xsd:schema xmlns:xsd="http://www.w3.org/2001/XMLSchema" xmlns:xs="http://www.w3.org/2001/XMLSchema" xmlns:p="http://schemas.microsoft.com/office/2006/metadata/properties" xmlns:ns2="3e80698b-ee9a-49f8-a58a-28e4f81e260e" xmlns:ns3="2721d68e-793b-4a0f-b17a-cd82d39c3ff3" targetNamespace="http://schemas.microsoft.com/office/2006/metadata/properties" ma:root="true" ma:fieldsID="e9a3f373c2cddfd9b38568853c5b7475" ns2:_="" ns3:_="">
    <xsd:import namespace="3e80698b-ee9a-49f8-a58a-28e4f81e260e"/>
    <xsd:import namespace="2721d68e-793b-4a0f-b17a-cd82d39c3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bf3ad703bc2d4b899a4482272ce484bc" minOccurs="0"/>
                <xsd:element ref="ns3:TaxCatchAll" minOccurs="0"/>
                <xsd:element ref="ns3:TaxCatchAllLabel" minOccurs="0"/>
                <xsd:element ref="ns3:i0f84bba906045b4af568ee102a52dcb" minOccurs="0"/>
                <xsd:element ref="ns3:RevIMDeletionDate" minOccurs="0"/>
                <xsd:element ref="ns3:RevIMEventDate" minOccurs="0"/>
                <xsd:element ref="ns3:RevIMComments" minOccurs="0"/>
                <xsd:element ref="ns3:RevIMDocumentOwner" minOccurs="0"/>
                <xsd:element ref="ns3:RevIMExte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RevIMDateOfModified2Creation" minOccurs="0"/>
                <xsd:element ref="ns2:MediaServiceOCR" minOccurs="0"/>
                <xsd:element ref="ns3:RevIMDeclar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0698b-ee9a-49f8-a58a-28e4f81e26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1d68e-793b-4a0f-b17a-cd82d39c3ff3" elementFormDefault="qualified">
    <xsd:import namespace="http://schemas.microsoft.com/office/2006/documentManagement/types"/>
    <xsd:import namespace="http://schemas.microsoft.com/office/infopath/2007/PartnerControls"/>
    <xsd:element name="bf3ad703bc2d4b899a4482272ce484bc" ma:index="11" nillable="true" ma:taxonomy="true" ma:internalName="bf3ad703bc2d4b899a4482272ce484bc" ma:taxonomyFieldName="LegalHoldTag" ma:displayName="LegalHold" ma:fieldId="{bf3ad703-bc2d-4b89-9a44-82272ce484bc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5d251394-b76e-44aa-8f3f-a1ab3899cddd}" ma:internalName="TaxCatchAll" ma:showField="CatchAllData" ma:web="2721d68e-793b-4a0f-b17a-cd82d39c3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5d251394-b76e-44aa-8f3f-a1ab3899cddd}" ma:internalName="TaxCatchAllLabel" ma:readOnly="true" ma:showField="CatchAllDataLabel" ma:web="2721d68e-793b-4a0f-b17a-cd82d39c3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6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7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8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9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20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1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25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  <xsd:element name="RevIMDeclareTime" ma:index="27" nillable="true" ma:displayName="CSD Record Declaration Time" ma:description="CSD Record Declaration Time" ma:format="DateTime" ma:indexed="true" ma:internalName="RevIMDeclare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MDocumentOwner xmlns="2721d68e-793b-4a0f-b17a-cd82d39c3ff3">
      <UserInfo>
        <DisplayName/>
        <AccountId xsi:nil="true"/>
        <AccountType/>
      </UserInfo>
    </RevIMDocumentOwner>
    <TaxCatchAll xmlns="2721d68e-793b-4a0f-b17a-cd82d39c3ff3">
      <Value>1</Value>
    </TaxCatchAll>
    <bf3ad703bc2d4b899a4482272ce484bc xmlns="2721d68e-793b-4a0f-b17a-cd82d39c3ff3">
      <Terms xmlns="http://schemas.microsoft.com/office/infopath/2007/PartnerControls"/>
    </bf3ad703bc2d4b899a4482272ce484bc>
    <i0f84bba906045b4af568ee102a52dcb xmlns="2721d68e-793b-4a0f-b17a-cd82d39c3ff3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Comments xmlns="2721d68e-793b-4a0f-b17a-cd82d39c3ff3" xsi:nil="true"/>
    <RevIMDeletionDate xmlns="2721d68e-793b-4a0f-b17a-cd82d39c3ff3">2028-03-07T04:03:20+00:00</RevIMDeletionDate>
    <RevIMExtends xmlns="2721d68e-793b-4a0f-b17a-cd82d39c3ff3">{"Locked":null,"LockedBy":null,"UnLocked":null,"UnLockedBy":null,"Classified":"2026-03-07T04:03:26.676Z","KSUClass":"0239cc7a-0c96-48a8-9e0e-a383e362571c","Reclassified":null,"ReclassifiedBy":null,"EDReclassified":null,"EDReclassifiedBy":null,"EventCreated":null,"EventModified":null,"EventDeleted":null,"EventCreatedBy":null,"EventModifiedBy":null,"EventDeletedBy":null,"Moved":null,"MovedBy":null,"MovedFrom":null,"IsMoving":null,"MoveStartTime":null}</RevIMExtends>
    <RevIMEventDate xmlns="2721d68e-793b-4a0f-b17a-cd82d39c3ff3" xsi:nil="true"/>
    <RevIMDateOfModified2Creation xmlns="2721d68e-793b-4a0f-b17a-cd82d39c3f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C1B025-9A26-4870-A51B-AC4B7D55E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80698b-ee9a-49f8-a58a-28e4f81e260e"/>
    <ds:schemaRef ds:uri="2721d68e-793b-4a0f-b17a-cd82d39c3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0F96B8-B3A6-4DC7-84B5-97BE7706CB2F}">
  <ds:schemaRefs>
    <ds:schemaRef ds:uri="http://schemas.microsoft.com/office/2006/metadata/properties"/>
    <ds:schemaRef ds:uri="http://schemas.microsoft.com/office/infopath/2007/PartnerControls"/>
    <ds:schemaRef ds:uri="2721d68e-793b-4a0f-b17a-cd82d39c3ff3"/>
  </ds:schemaRefs>
</ds:datastoreItem>
</file>

<file path=customXml/itemProps3.xml><?xml version="1.0" encoding="utf-8"?>
<ds:datastoreItem xmlns:ds="http://schemas.openxmlformats.org/officeDocument/2006/customXml" ds:itemID="{E1BE3988-E48C-477C-8526-0AE322DB94C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Volkswagen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Aich, Joy (PLC)</dc:creator>
  <cp:lastModifiedBy>Morkhade, Mangesh (EXTERN: SJL)</cp:lastModifiedBy>
  <cp:lastPrinted>2025-11-21T06:58:47Z</cp:lastPrinted>
  <dcterms:created xsi:type="dcterms:W3CDTF">2024-02-26T04:45:47Z</dcterms:created>
  <dcterms:modified xsi:type="dcterms:W3CDTF">2026-03-07T04:11:43Z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c9b508-7c6e-42bd-bedf-808292653d6c_Enabled">
    <vt:lpwstr>true</vt:lpwstr>
  </property>
  <property fmtid="{D5CDD505-2E9C-101B-9397-08002B2CF9AE}" pid="3" name="MSIP_Label_b1c9b508-7c6e-42bd-bedf-808292653d6c_SetDate">
    <vt:lpwstr>2024-02-27T05:30:14Z</vt:lpwstr>
  </property>
  <property fmtid="{D5CDD505-2E9C-101B-9397-08002B2CF9AE}" pid="4" name="MSIP_Label_b1c9b508-7c6e-42bd-bedf-808292653d6c_Method">
    <vt:lpwstr>Standard</vt:lpwstr>
  </property>
  <property fmtid="{D5CDD505-2E9C-101B-9397-08002B2CF9AE}" pid="5" name="MSIP_Label_b1c9b508-7c6e-42bd-bedf-808292653d6c_Name">
    <vt:lpwstr>b1c9b508-7c6e-42bd-bedf-808292653d6c</vt:lpwstr>
  </property>
  <property fmtid="{D5CDD505-2E9C-101B-9397-08002B2CF9AE}" pid="6" name="MSIP_Label_b1c9b508-7c6e-42bd-bedf-808292653d6c_SiteId">
    <vt:lpwstr>2882be50-2012-4d88-ac86-544124e120c8</vt:lpwstr>
  </property>
  <property fmtid="{D5CDD505-2E9C-101B-9397-08002B2CF9AE}" pid="7" name="MSIP_Label_b1c9b508-7c6e-42bd-bedf-808292653d6c_ActionId">
    <vt:lpwstr>3d092ace-e86a-4e46-879b-e4dba56650c7</vt:lpwstr>
  </property>
  <property fmtid="{D5CDD505-2E9C-101B-9397-08002B2CF9AE}" pid="8" name="MSIP_Label_b1c9b508-7c6e-42bd-bedf-808292653d6c_ContentBits">
    <vt:lpwstr>3</vt:lpwstr>
  </property>
  <property fmtid="{D5CDD505-2E9C-101B-9397-08002B2CF9AE}" pid="9" name="ContentTypeId">
    <vt:lpwstr>0x0101006940676C4ED8C144BD94E9F311925F36</vt:lpwstr>
  </property>
  <property fmtid="{D5CDD505-2E9C-101B-9397-08002B2CF9AE}" pid="10" name="RevIMBCS">
    <vt:lpwstr>1;#0.1 Initial category|0239cc7a-0c96-48a8-9e0e-a383e362571c</vt:lpwstr>
  </property>
  <property fmtid="{D5CDD505-2E9C-101B-9397-08002B2CF9AE}" pid="11" name="LegalHoldTag">
    <vt:lpwstr/>
  </property>
</Properties>
</file>